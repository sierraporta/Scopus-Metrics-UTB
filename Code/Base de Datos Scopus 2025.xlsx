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neno/ScriptScopusDef/"/>
    </mc:Choice>
  </mc:AlternateContent>
  <xr:revisionPtr revIDLastSave="0" documentId="13_ncr:1_{5F81D66F-C5F0-5A4E-BEB3-287171099C1C}" xr6:coauthVersionLast="47" xr6:coauthVersionMax="47" xr10:uidLastSave="{00000000-0000-0000-0000-000000000000}"/>
  <bookViews>
    <workbookView xWindow="5640" yWindow="-21000" windowWidth="19220" windowHeight="19480" tabRatio="601" activeTab="1" xr2:uid="{F122B380-F3CC-4F1B-95A6-52B7940788A7}"/>
  </bookViews>
  <sheets>
    <sheet name="LISTADO PAIS Y MUNICIPIOS" sheetId="79" state="hidden" r:id="rId1"/>
    <sheet name="DOCENTES DE PLANTA 2025-2" sheetId="97" r:id="rId2"/>
    <sheet name="Hoja1" sheetId="98" r:id="rId3"/>
    <sheet name="Hoja3" sheetId="91" state="hidden" r:id="rId4"/>
    <sheet name="EVALUACIÓN DOCENTE" sheetId="87" state="hidden" r:id="rId5"/>
    <sheet name="DECANO +DIRECTORES" sheetId="88" state="hidden" r:id="rId6"/>
  </sheets>
  <definedNames>
    <definedName name="_xlnm._FilterDatabase" localSheetId="1" hidden="1">'DOCENTES DE PLANTA 2025-2'!$A$1:$F$138</definedName>
    <definedName name="_xlnm._FilterDatabase" localSheetId="0" hidden="1">'LISTADO PAIS Y MUNICIPIOS'!$A$1:$D$1120</definedName>
    <definedName name="ARQUI">#REF!</definedName>
    <definedName name="CBAS">#REF!</definedName>
    <definedName name="CI">#REF!</definedName>
    <definedName name="CSYH">#REF!</definedName>
    <definedName name="DCHO">#REF!</definedName>
    <definedName name="EDU">#REF!</definedName>
    <definedName name="EN">#REF!</definedName>
    <definedName name="IDEEAS">#REF!</definedName>
    <definedName name="ING">#REF!</definedName>
    <definedName name="VIRTUA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RECTORIO ACTIVO-067c5a85-4898-49e7-9c1b-db2d7a9c8f8a" name="DIRECTORIO ACTIVO" connection="Consulta - DIRECTORIO ACTIV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E4" i="91" l="1"/>
  <c r="CF4" i="91" s="1"/>
  <c r="BZ4" i="91"/>
  <c r="BV4" i="91"/>
  <c r="BR4" i="91"/>
  <c r="BM4" i="91"/>
  <c r="BC4" i="91"/>
  <c r="AR4" i="91"/>
  <c r="AP4" i="91"/>
  <c r="AN4" i="91"/>
  <c r="AM4" i="91"/>
  <c r="AL4" i="91"/>
  <c r="AK4" i="91"/>
  <c r="AJ4" i="91"/>
  <c r="AI4" i="91"/>
  <c r="AH4" i="91"/>
  <c r="R4" i="91"/>
  <c r="P4" i="91"/>
  <c r="M4" i="91"/>
  <c r="H4" i="91"/>
  <c r="F2" i="79" l="1"/>
  <c r="F3" i="79"/>
  <c r="F4" i="79"/>
  <c r="F5" i="79"/>
  <c r="F6" i="79"/>
  <c r="F7" i="79"/>
  <c r="F8" i="79"/>
  <c r="F9" i="79"/>
  <c r="F10" i="79"/>
  <c r="F11" i="79"/>
  <c r="F12" i="79"/>
  <c r="F13" i="79"/>
  <c r="F14" i="79"/>
  <c r="F15" i="79"/>
  <c r="F16" i="79"/>
  <c r="F17" i="79"/>
  <c r="F18" i="79"/>
  <c r="F19" i="79"/>
  <c r="F20" i="79"/>
  <c r="F21" i="79"/>
  <c r="F22" i="79"/>
  <c r="F23" i="79"/>
  <c r="F24" i="79"/>
  <c r="F25" i="79"/>
  <c r="F26" i="79"/>
  <c r="F27" i="79"/>
  <c r="F28" i="79"/>
  <c r="F29" i="79"/>
  <c r="F30" i="79"/>
  <c r="F31" i="79"/>
  <c r="F32" i="79"/>
  <c r="F33" i="79"/>
  <c r="F34" i="79"/>
  <c r="F35" i="79"/>
  <c r="F36" i="79"/>
  <c r="F37" i="79"/>
  <c r="F38" i="79"/>
  <c r="F39" i="79"/>
  <c r="F40" i="79"/>
  <c r="F41" i="79"/>
  <c r="F42" i="79"/>
  <c r="F43" i="79"/>
  <c r="F44" i="79"/>
  <c r="F45" i="79"/>
  <c r="F46" i="79"/>
  <c r="F47" i="79"/>
  <c r="F48" i="79"/>
  <c r="F49" i="79"/>
  <c r="F50" i="79"/>
  <c r="F51" i="79"/>
  <c r="F52" i="79"/>
  <c r="F53" i="79"/>
  <c r="F54" i="79"/>
  <c r="F55" i="79"/>
  <c r="F56" i="79"/>
  <c r="F57" i="79"/>
  <c r="F58" i="79"/>
  <c r="F59" i="79"/>
  <c r="F60" i="79"/>
  <c r="F61" i="79"/>
  <c r="F62" i="79"/>
  <c r="F63" i="79"/>
  <c r="F64" i="79"/>
  <c r="F65" i="79"/>
  <c r="F66" i="79"/>
  <c r="F67" i="79"/>
  <c r="F68" i="79"/>
  <c r="F69" i="79"/>
  <c r="F70" i="79"/>
  <c r="F71" i="79"/>
  <c r="F72" i="79"/>
  <c r="F73" i="79"/>
  <c r="F74" i="79"/>
  <c r="F75" i="79"/>
  <c r="F76" i="79"/>
  <c r="F77" i="79"/>
  <c r="F78" i="79"/>
  <c r="F79" i="79"/>
  <c r="F80" i="79"/>
  <c r="F81" i="79"/>
  <c r="F82" i="79"/>
  <c r="F83" i="79"/>
  <c r="F84" i="79"/>
  <c r="F85" i="79"/>
  <c r="F86" i="79"/>
  <c r="F87" i="79"/>
  <c r="F88" i="79"/>
  <c r="F89" i="79"/>
  <c r="F90" i="79"/>
  <c r="F91" i="79"/>
  <c r="F92" i="79"/>
  <c r="F93" i="79"/>
  <c r="F94" i="79"/>
  <c r="F95" i="79"/>
  <c r="F96" i="79"/>
  <c r="F97" i="79"/>
  <c r="F98" i="79"/>
  <c r="F99" i="79"/>
  <c r="F100" i="79"/>
  <c r="F101" i="79"/>
  <c r="F102" i="79"/>
  <c r="F103" i="79"/>
  <c r="F104" i="79"/>
  <c r="F105" i="79"/>
  <c r="F106" i="79"/>
  <c r="F107" i="79"/>
  <c r="F108" i="79"/>
  <c r="F109" i="79"/>
  <c r="F110" i="79"/>
  <c r="F111" i="79"/>
  <c r="F112" i="79"/>
  <c r="F113" i="79"/>
  <c r="F114" i="79"/>
  <c r="F115" i="79"/>
  <c r="F116" i="79"/>
  <c r="F117" i="79"/>
  <c r="F118" i="79"/>
  <c r="F119" i="79"/>
  <c r="F120" i="79"/>
  <c r="F121" i="79"/>
  <c r="F122" i="79"/>
  <c r="F123" i="79"/>
  <c r="F124" i="79"/>
  <c r="F125" i="79"/>
  <c r="F126" i="79"/>
  <c r="F127" i="79"/>
  <c r="F128" i="79"/>
  <c r="F129" i="79"/>
  <c r="F130" i="79"/>
  <c r="F131" i="79"/>
  <c r="F132" i="79"/>
  <c r="F133" i="79"/>
  <c r="F134" i="79"/>
  <c r="F135" i="79"/>
  <c r="F136" i="79"/>
  <c r="F137" i="79"/>
  <c r="F138" i="79"/>
  <c r="F139" i="79"/>
  <c r="F140" i="79"/>
  <c r="F141" i="79"/>
  <c r="F142" i="79"/>
  <c r="F143" i="79"/>
  <c r="F144" i="79"/>
  <c r="F145" i="79"/>
  <c r="F146" i="79"/>
  <c r="F147" i="79"/>
  <c r="F148" i="79"/>
  <c r="F149" i="79"/>
  <c r="F150" i="79"/>
  <c r="F151" i="79"/>
  <c r="F152" i="79"/>
  <c r="F153" i="79"/>
  <c r="F154" i="79"/>
  <c r="F155" i="79"/>
  <c r="F156" i="79"/>
  <c r="F157" i="79"/>
  <c r="F158" i="79"/>
  <c r="F159" i="79"/>
  <c r="F160" i="79"/>
  <c r="F161" i="79"/>
  <c r="F162" i="79"/>
  <c r="F163" i="79"/>
  <c r="F164" i="79"/>
  <c r="F165" i="79"/>
  <c r="F166" i="79"/>
  <c r="F167" i="79"/>
  <c r="F168" i="79"/>
  <c r="F169" i="79"/>
  <c r="F170" i="79"/>
  <c r="F171" i="79"/>
  <c r="F172" i="79"/>
  <c r="F173" i="79"/>
  <c r="F174" i="79"/>
  <c r="F175" i="79"/>
  <c r="F176" i="79"/>
  <c r="F177" i="79"/>
  <c r="F178" i="79"/>
  <c r="F179" i="79"/>
  <c r="F180" i="79"/>
  <c r="F181" i="79"/>
  <c r="F182" i="79"/>
  <c r="F183" i="79"/>
  <c r="F184" i="79"/>
  <c r="F185" i="79"/>
  <c r="F186" i="79"/>
  <c r="F187" i="79"/>
  <c r="F188" i="79"/>
  <c r="F189" i="79"/>
  <c r="F190" i="79"/>
  <c r="F191" i="79"/>
  <c r="F192" i="79"/>
  <c r="F193" i="79"/>
  <c r="F194" i="79"/>
  <c r="F195" i="79"/>
  <c r="F196" i="79"/>
  <c r="F197" i="79"/>
  <c r="F198" i="79"/>
  <c r="F199" i="79"/>
  <c r="F200" i="79"/>
  <c r="F201" i="79"/>
  <c r="F202" i="79"/>
  <c r="F203" i="79"/>
  <c r="F204" i="79"/>
  <c r="F205" i="79"/>
  <c r="F206" i="79"/>
  <c r="F207" i="79"/>
  <c r="F208" i="79"/>
  <c r="F209" i="79"/>
  <c r="F210" i="79"/>
  <c r="F211" i="79"/>
  <c r="F212" i="79"/>
  <c r="F213" i="79"/>
  <c r="F214" i="79"/>
  <c r="F215" i="79"/>
  <c r="F216" i="79"/>
  <c r="F217" i="79"/>
  <c r="F218" i="79"/>
  <c r="F219" i="79"/>
  <c r="F220" i="79"/>
  <c r="F221" i="79"/>
  <c r="F222" i="79"/>
  <c r="F223" i="79"/>
  <c r="F224" i="79"/>
  <c r="F225" i="79"/>
  <c r="F226" i="79"/>
  <c r="F227" i="79"/>
  <c r="F228" i="79"/>
  <c r="F229" i="79"/>
  <c r="F230" i="79"/>
  <c r="F231" i="79"/>
  <c r="F232" i="79"/>
  <c r="F233" i="79"/>
  <c r="F234" i="79"/>
  <c r="F235" i="79"/>
  <c r="F236" i="79"/>
  <c r="F237" i="79"/>
  <c r="F238" i="79"/>
  <c r="F239" i="79"/>
  <c r="F240" i="79"/>
  <c r="F241" i="79"/>
  <c r="F242" i="79"/>
  <c r="F243" i="79"/>
  <c r="F244" i="79"/>
  <c r="F245" i="79"/>
  <c r="F246" i="79"/>
  <c r="F247" i="79"/>
  <c r="F248" i="79"/>
  <c r="F249" i="79"/>
  <c r="F250" i="79"/>
  <c r="F251" i="79"/>
  <c r="F252" i="79"/>
  <c r="F253" i="79"/>
  <c r="F254" i="79"/>
  <c r="F255" i="79"/>
  <c r="F256" i="79"/>
  <c r="F257" i="79"/>
  <c r="F258" i="79"/>
  <c r="F259" i="79"/>
  <c r="F260" i="79"/>
  <c r="F261" i="79"/>
  <c r="F262" i="79"/>
  <c r="F263" i="79"/>
  <c r="F264" i="79"/>
  <c r="F265" i="79"/>
  <c r="F266" i="79"/>
  <c r="F267" i="79"/>
  <c r="F268" i="79"/>
  <c r="F269" i="79"/>
  <c r="F270" i="79"/>
  <c r="F271" i="79"/>
  <c r="F272" i="79"/>
  <c r="F273" i="79"/>
  <c r="F274" i="79"/>
  <c r="F275" i="79"/>
  <c r="F276" i="79"/>
  <c r="F277" i="79"/>
  <c r="F278" i="79"/>
  <c r="F279" i="79"/>
  <c r="F280" i="79"/>
  <c r="F281" i="79"/>
  <c r="F282" i="79"/>
  <c r="F283" i="79"/>
  <c r="F284" i="79"/>
  <c r="F285" i="79"/>
  <c r="F286" i="79"/>
  <c r="F287" i="79"/>
  <c r="F288" i="79"/>
  <c r="F289" i="79"/>
  <c r="F290" i="79"/>
  <c r="F291" i="79"/>
  <c r="F292" i="79"/>
  <c r="F293" i="79"/>
  <c r="F294" i="79"/>
  <c r="F295" i="79"/>
  <c r="F296" i="79"/>
  <c r="F297" i="79"/>
  <c r="F298" i="79"/>
  <c r="F299" i="79"/>
  <c r="F300" i="79"/>
  <c r="F301" i="79"/>
  <c r="F302" i="79"/>
  <c r="F303" i="79"/>
  <c r="F304" i="79"/>
  <c r="F305" i="79"/>
  <c r="F306" i="79"/>
  <c r="F307" i="79"/>
  <c r="F308" i="79"/>
  <c r="F309" i="79"/>
  <c r="F310" i="79"/>
  <c r="F311" i="79"/>
  <c r="F312" i="79"/>
  <c r="F313" i="79"/>
  <c r="F314" i="79"/>
  <c r="F315" i="79"/>
  <c r="F316" i="79"/>
  <c r="F317" i="79"/>
  <c r="F318" i="79"/>
  <c r="F319" i="79"/>
  <c r="F320" i="79"/>
  <c r="F321" i="79"/>
  <c r="F322" i="79"/>
  <c r="F323" i="79"/>
  <c r="F324" i="79"/>
  <c r="F325" i="79"/>
  <c r="F326" i="79"/>
  <c r="F327" i="79"/>
  <c r="F328" i="79"/>
  <c r="F329" i="79"/>
  <c r="F330" i="79"/>
  <c r="F331" i="79"/>
  <c r="F332" i="79"/>
  <c r="F333" i="79"/>
  <c r="F334" i="79"/>
  <c r="F335" i="79"/>
  <c r="F336" i="79"/>
  <c r="F337" i="79"/>
  <c r="F338" i="79"/>
  <c r="F339" i="79"/>
  <c r="F340" i="79"/>
  <c r="F341" i="79"/>
  <c r="F342" i="79"/>
  <c r="F343" i="79"/>
  <c r="F344" i="79"/>
  <c r="F345" i="79"/>
  <c r="F346" i="79"/>
  <c r="F347" i="79"/>
  <c r="F348" i="79"/>
  <c r="F349" i="79"/>
  <c r="F350" i="79"/>
  <c r="F351" i="79"/>
  <c r="F352" i="79"/>
  <c r="F353" i="79"/>
  <c r="F354" i="79"/>
  <c r="F355" i="79"/>
  <c r="F356" i="79"/>
  <c r="F357" i="79"/>
  <c r="F358" i="79"/>
  <c r="F359" i="79"/>
  <c r="F360" i="79"/>
  <c r="F361" i="79"/>
  <c r="F362" i="79"/>
  <c r="F363" i="79"/>
  <c r="F364" i="79"/>
  <c r="F365" i="79"/>
  <c r="F366" i="79"/>
  <c r="F367" i="79"/>
  <c r="F368" i="79"/>
  <c r="F369" i="79"/>
  <c r="F370" i="79"/>
  <c r="F371" i="79"/>
  <c r="F372" i="79"/>
  <c r="F373" i="79"/>
  <c r="F374" i="79"/>
  <c r="F375" i="79"/>
  <c r="F376" i="79"/>
  <c r="F377" i="79"/>
  <c r="F378" i="79"/>
  <c r="F379" i="79"/>
  <c r="F380" i="79"/>
  <c r="F381" i="79"/>
  <c r="F382" i="79"/>
  <c r="F383" i="79"/>
  <c r="F384" i="79"/>
  <c r="F385" i="79"/>
  <c r="F386" i="79"/>
  <c r="F387" i="79"/>
  <c r="F388" i="79"/>
  <c r="F389" i="79"/>
  <c r="F390" i="79"/>
  <c r="F391" i="79"/>
  <c r="F392" i="79"/>
  <c r="F393" i="79"/>
  <c r="F394" i="79"/>
  <c r="F395" i="79"/>
  <c r="F396" i="79"/>
  <c r="F397" i="79"/>
  <c r="F398" i="79"/>
  <c r="F399" i="79"/>
  <c r="F400" i="79"/>
  <c r="F401" i="79"/>
  <c r="F402" i="79"/>
  <c r="F403" i="79"/>
  <c r="F404" i="79"/>
  <c r="F405" i="79"/>
  <c r="F406" i="79"/>
  <c r="F407" i="79"/>
  <c r="F408" i="79"/>
  <c r="F409" i="79"/>
  <c r="F410" i="79"/>
  <c r="F411" i="79"/>
  <c r="F412" i="79"/>
  <c r="F413" i="79"/>
  <c r="F414" i="79"/>
  <c r="F415" i="79"/>
  <c r="F416" i="79"/>
  <c r="F417" i="79"/>
  <c r="F418" i="79"/>
  <c r="F419" i="79"/>
  <c r="F420" i="79"/>
  <c r="F421" i="79"/>
  <c r="F422" i="79"/>
  <c r="F423" i="79"/>
  <c r="F424" i="79"/>
  <c r="F425" i="79"/>
  <c r="F426" i="79"/>
  <c r="F427" i="79"/>
  <c r="F428" i="79"/>
  <c r="F429" i="79"/>
  <c r="F430" i="79"/>
  <c r="F431" i="79"/>
  <c r="F432" i="79"/>
  <c r="F433" i="79"/>
  <c r="F434" i="79"/>
  <c r="F435" i="79"/>
  <c r="F436" i="79"/>
  <c r="F437" i="79"/>
  <c r="F438" i="79"/>
  <c r="F439" i="79"/>
  <c r="F440" i="79"/>
  <c r="F441" i="79"/>
  <c r="F442" i="79"/>
  <c r="F443" i="79"/>
  <c r="F444" i="79"/>
  <c r="F445" i="79"/>
  <c r="F446" i="79"/>
  <c r="F447" i="79"/>
  <c r="F448" i="79"/>
  <c r="F449" i="79"/>
  <c r="F450" i="79"/>
  <c r="F451" i="79"/>
  <c r="F452" i="79"/>
  <c r="F453" i="79"/>
  <c r="F454" i="79"/>
  <c r="F455" i="79"/>
  <c r="F456" i="79"/>
  <c r="F457" i="79"/>
  <c r="F458" i="79"/>
  <c r="F459" i="79"/>
  <c r="F460" i="79"/>
  <c r="F461" i="79"/>
  <c r="F462" i="79"/>
  <c r="F463" i="79"/>
  <c r="F464" i="79"/>
  <c r="F465" i="79"/>
  <c r="F466" i="79"/>
  <c r="F467" i="79"/>
  <c r="F468" i="79"/>
  <c r="F469" i="79"/>
  <c r="F470" i="79"/>
  <c r="F471" i="79"/>
  <c r="F472" i="79"/>
  <c r="F473" i="79"/>
  <c r="F474" i="79"/>
  <c r="F475" i="79"/>
  <c r="F476" i="79"/>
  <c r="F477" i="79"/>
  <c r="F478" i="79"/>
  <c r="F479" i="79"/>
  <c r="F480" i="79"/>
  <c r="F481" i="79"/>
  <c r="F482" i="79"/>
  <c r="F483" i="79"/>
  <c r="F484" i="79"/>
  <c r="F485" i="79"/>
  <c r="F486" i="79"/>
  <c r="F487" i="79"/>
  <c r="F488" i="79"/>
  <c r="F489" i="79"/>
  <c r="F490" i="79"/>
  <c r="F491" i="79"/>
  <c r="F492" i="79"/>
  <c r="F493" i="79"/>
  <c r="F494" i="79"/>
  <c r="F495" i="79"/>
  <c r="F496" i="79"/>
  <c r="F497" i="79"/>
  <c r="F498" i="79"/>
  <c r="F499" i="79"/>
  <c r="F500" i="79"/>
  <c r="F501" i="79"/>
  <c r="F502" i="79"/>
  <c r="F503" i="79"/>
  <c r="F504" i="79"/>
  <c r="F505" i="79"/>
  <c r="F506" i="79"/>
  <c r="F507" i="79"/>
  <c r="F508" i="79"/>
  <c r="F509" i="79"/>
  <c r="F510" i="79"/>
  <c r="F511" i="79"/>
  <c r="F512" i="79"/>
  <c r="F513" i="79"/>
  <c r="F514" i="79"/>
  <c r="F515" i="79"/>
  <c r="F516" i="79"/>
  <c r="F517" i="79"/>
  <c r="F518" i="79"/>
  <c r="F519" i="79"/>
  <c r="F520" i="79"/>
  <c r="F521" i="79"/>
  <c r="F522" i="79"/>
  <c r="F523" i="79"/>
  <c r="F524" i="79"/>
  <c r="F525" i="79"/>
  <c r="F526" i="79"/>
  <c r="F527" i="79"/>
  <c r="F528" i="79"/>
  <c r="F529" i="79"/>
  <c r="F530" i="79"/>
  <c r="F531" i="79"/>
  <c r="F532" i="79"/>
  <c r="F533" i="79"/>
  <c r="F534" i="79"/>
  <c r="F535" i="79"/>
  <c r="F536" i="79"/>
  <c r="F537" i="79"/>
  <c r="F538" i="79"/>
  <c r="F539" i="79"/>
  <c r="F540" i="79"/>
  <c r="F541" i="79"/>
  <c r="F542" i="79"/>
  <c r="F543" i="79"/>
  <c r="F544" i="79"/>
  <c r="F545" i="79"/>
  <c r="F546" i="79"/>
  <c r="F547" i="79"/>
  <c r="F548" i="79"/>
  <c r="F549" i="79"/>
  <c r="F550" i="79"/>
  <c r="F551" i="79"/>
  <c r="F552" i="79"/>
  <c r="F553" i="79"/>
  <c r="F554" i="79"/>
  <c r="F555" i="79"/>
  <c r="F556" i="79"/>
  <c r="F557" i="79"/>
  <c r="F558" i="79"/>
  <c r="F559" i="79"/>
  <c r="F560" i="79"/>
  <c r="F561" i="79"/>
  <c r="F562" i="79"/>
  <c r="F563" i="79"/>
  <c r="F564" i="79"/>
  <c r="F565" i="79"/>
  <c r="F566" i="79"/>
  <c r="F567" i="79"/>
  <c r="F568" i="79"/>
  <c r="F569" i="79"/>
  <c r="F570" i="79"/>
  <c r="F571" i="79"/>
  <c r="F572" i="79"/>
  <c r="F573" i="79"/>
  <c r="F574" i="79"/>
  <c r="F575" i="79"/>
  <c r="F576" i="79"/>
  <c r="F577" i="79"/>
  <c r="F578" i="79"/>
  <c r="F579" i="79"/>
  <c r="F580" i="79"/>
  <c r="F581" i="79"/>
  <c r="F582" i="79"/>
  <c r="F583" i="79"/>
  <c r="F584" i="79"/>
  <c r="F585" i="79"/>
  <c r="F586" i="79"/>
  <c r="F587" i="79"/>
  <c r="F588" i="79"/>
  <c r="F589" i="79"/>
  <c r="F590" i="79"/>
  <c r="F591" i="79"/>
  <c r="F592" i="79"/>
  <c r="F593" i="79"/>
  <c r="F594" i="79"/>
  <c r="F595" i="79"/>
  <c r="F596" i="79"/>
  <c r="F597" i="79"/>
  <c r="F598" i="79"/>
  <c r="F599" i="79"/>
  <c r="F600" i="79"/>
  <c r="F601" i="79"/>
  <c r="F602" i="79"/>
  <c r="F603" i="79"/>
  <c r="F604" i="79"/>
  <c r="F605" i="79"/>
  <c r="F606" i="79"/>
  <c r="F607" i="79"/>
  <c r="F608" i="79"/>
  <c r="F609" i="79"/>
  <c r="F610" i="79"/>
  <c r="F611" i="79"/>
  <c r="F612" i="79"/>
  <c r="F613" i="79"/>
  <c r="F614" i="79"/>
  <c r="F615" i="79"/>
  <c r="F616" i="79"/>
  <c r="F617" i="79"/>
  <c r="F618" i="79"/>
  <c r="F619" i="79"/>
  <c r="F620" i="79"/>
  <c r="F621" i="79"/>
  <c r="F622" i="79"/>
  <c r="F623" i="79"/>
  <c r="F624" i="79"/>
  <c r="F625" i="79"/>
  <c r="F626" i="79"/>
  <c r="F627" i="79"/>
  <c r="F628" i="79"/>
  <c r="F629" i="79"/>
  <c r="F630" i="79"/>
  <c r="F631" i="79"/>
  <c r="F632" i="79"/>
  <c r="F633" i="79"/>
  <c r="F634" i="79"/>
  <c r="F635" i="79"/>
  <c r="F636" i="79"/>
  <c r="F637" i="79"/>
  <c r="F638" i="79"/>
  <c r="F639" i="79"/>
  <c r="F640" i="79"/>
  <c r="F641" i="79"/>
  <c r="F642" i="79"/>
  <c r="F643" i="79"/>
  <c r="F644" i="79"/>
  <c r="F645" i="79"/>
  <c r="F646" i="79"/>
  <c r="F647" i="79"/>
  <c r="F648" i="79"/>
  <c r="F649" i="79"/>
  <c r="F650" i="79"/>
  <c r="F651" i="79"/>
  <c r="F652" i="79"/>
  <c r="F653" i="79"/>
  <c r="F654" i="79"/>
  <c r="F655" i="79"/>
  <c r="F656" i="79"/>
  <c r="F657" i="79"/>
  <c r="F658" i="79"/>
  <c r="F659" i="79"/>
  <c r="F660" i="79"/>
  <c r="F661" i="79"/>
  <c r="F662" i="79"/>
  <c r="F663" i="79"/>
  <c r="F664" i="79"/>
  <c r="F665" i="79"/>
  <c r="F666" i="79"/>
  <c r="F667" i="79"/>
  <c r="F668" i="79"/>
  <c r="F669" i="79"/>
  <c r="F670" i="79"/>
  <c r="F671" i="79"/>
  <c r="F672" i="79"/>
  <c r="F673" i="79"/>
  <c r="F674" i="79"/>
  <c r="F675" i="79"/>
  <c r="F676" i="79"/>
  <c r="F677" i="79"/>
  <c r="F678" i="79"/>
  <c r="F679" i="79"/>
  <c r="F680" i="79"/>
  <c r="F681" i="79"/>
  <c r="F682" i="79"/>
  <c r="F683" i="79"/>
  <c r="F684" i="79"/>
  <c r="F685" i="79"/>
  <c r="F686" i="79"/>
  <c r="F687" i="79"/>
  <c r="F688" i="79"/>
  <c r="F689" i="79"/>
  <c r="F690" i="79"/>
  <c r="F691" i="79"/>
  <c r="F692" i="79"/>
  <c r="F693" i="79"/>
  <c r="F694" i="79"/>
  <c r="F695" i="79"/>
  <c r="F696" i="79"/>
  <c r="F697" i="79"/>
  <c r="F698" i="79"/>
  <c r="F699" i="79"/>
  <c r="F700" i="79"/>
  <c r="F701" i="79"/>
  <c r="F702" i="79"/>
  <c r="F703" i="79"/>
  <c r="F704" i="79"/>
  <c r="F705" i="79"/>
  <c r="F706" i="79"/>
  <c r="F707" i="79"/>
  <c r="F708" i="79"/>
  <c r="F709" i="79"/>
  <c r="F710" i="79"/>
  <c r="F711" i="79"/>
  <c r="F712" i="79"/>
  <c r="F713" i="79"/>
  <c r="F714" i="79"/>
  <c r="F715" i="79"/>
  <c r="F716" i="79"/>
  <c r="F717" i="79"/>
  <c r="F718" i="79"/>
  <c r="F719" i="79"/>
  <c r="F720" i="79"/>
  <c r="F721" i="79"/>
  <c r="F722" i="79"/>
  <c r="F723" i="79"/>
  <c r="F724" i="79"/>
  <c r="F725" i="79"/>
  <c r="F726" i="79"/>
  <c r="F727" i="79"/>
  <c r="F728" i="79"/>
  <c r="F729" i="79"/>
  <c r="F730" i="79"/>
  <c r="F731" i="79"/>
  <c r="F732" i="79"/>
  <c r="F733" i="79"/>
  <c r="F734" i="79"/>
  <c r="F735" i="79"/>
  <c r="F736" i="79"/>
  <c r="F737" i="79"/>
  <c r="F738" i="79"/>
  <c r="F739" i="79"/>
  <c r="F740" i="79"/>
  <c r="F741" i="79"/>
  <c r="F742" i="79"/>
  <c r="F743" i="79"/>
  <c r="F744" i="79"/>
  <c r="F745" i="79"/>
  <c r="F746" i="79"/>
  <c r="F747" i="79"/>
  <c r="F748" i="79"/>
  <c r="F749" i="79"/>
  <c r="F750" i="79"/>
  <c r="F751" i="79"/>
  <c r="F752" i="79"/>
  <c r="F753" i="79"/>
  <c r="F754" i="79"/>
  <c r="F755" i="79"/>
  <c r="F756" i="79"/>
  <c r="F757" i="79"/>
  <c r="F758" i="79"/>
  <c r="F759" i="79"/>
  <c r="F760" i="79"/>
  <c r="F761" i="79"/>
  <c r="F762" i="79"/>
  <c r="F763" i="79"/>
  <c r="F764" i="79"/>
  <c r="F765" i="79"/>
  <c r="F766" i="79"/>
  <c r="F767" i="79"/>
  <c r="F768" i="79"/>
  <c r="F769" i="79"/>
  <c r="F770" i="79"/>
  <c r="F771" i="79"/>
  <c r="F772" i="79"/>
  <c r="F773" i="79"/>
  <c r="F774" i="79"/>
  <c r="F775" i="79"/>
  <c r="F776" i="79"/>
  <c r="F777" i="79"/>
  <c r="F778" i="79"/>
  <c r="F779" i="79"/>
  <c r="F780" i="79"/>
  <c r="F781" i="79"/>
  <c r="F782" i="79"/>
  <c r="F783" i="79"/>
  <c r="F784" i="79"/>
  <c r="F785" i="79"/>
  <c r="F786" i="79"/>
  <c r="F787" i="79"/>
  <c r="F788" i="79"/>
  <c r="F789" i="79"/>
  <c r="F790" i="79"/>
  <c r="F791" i="79"/>
  <c r="F792" i="79"/>
  <c r="F793" i="79"/>
  <c r="F794" i="79"/>
  <c r="F795" i="79"/>
  <c r="F796" i="79"/>
  <c r="F797" i="79"/>
  <c r="F798" i="79"/>
  <c r="F799" i="79"/>
  <c r="F800" i="79"/>
  <c r="F801" i="79"/>
  <c r="F802" i="79"/>
  <c r="F803" i="79"/>
  <c r="F804" i="79"/>
  <c r="F805" i="79"/>
  <c r="F806" i="79"/>
  <c r="F807" i="79"/>
  <c r="F808" i="79"/>
  <c r="F809" i="79"/>
  <c r="F810" i="79"/>
  <c r="F811" i="79"/>
  <c r="F812" i="79"/>
  <c r="F813" i="79"/>
  <c r="F814" i="79"/>
  <c r="F815" i="79"/>
  <c r="F816" i="79"/>
  <c r="F817" i="79"/>
  <c r="F818" i="79"/>
  <c r="F819" i="79"/>
  <c r="F820" i="79"/>
  <c r="F821" i="79"/>
  <c r="F822" i="79"/>
  <c r="F823" i="79"/>
  <c r="F824" i="79"/>
  <c r="F825" i="79"/>
  <c r="F826" i="79"/>
  <c r="F827" i="79"/>
  <c r="F828" i="79"/>
  <c r="F829" i="79"/>
  <c r="F830" i="79"/>
  <c r="F831" i="79"/>
  <c r="F832" i="79"/>
  <c r="F833" i="79"/>
  <c r="F834" i="79"/>
  <c r="F835" i="79"/>
  <c r="F836" i="79"/>
  <c r="F837" i="79"/>
  <c r="F838" i="79"/>
  <c r="F839" i="79"/>
  <c r="F840" i="79"/>
  <c r="F841" i="79"/>
  <c r="F842" i="79"/>
  <c r="F843" i="79"/>
  <c r="F844" i="79"/>
  <c r="F845" i="79"/>
  <c r="F846" i="79"/>
  <c r="F847" i="79"/>
  <c r="F848" i="79"/>
  <c r="F849" i="79"/>
  <c r="F850" i="79"/>
  <c r="F851" i="79"/>
  <c r="F852" i="79"/>
  <c r="F853" i="79"/>
  <c r="F854" i="79"/>
  <c r="F855" i="79"/>
  <c r="F856" i="79"/>
  <c r="F857" i="79"/>
  <c r="F858" i="79"/>
  <c r="F859" i="79"/>
  <c r="F860" i="79"/>
  <c r="F861" i="79"/>
  <c r="F862" i="79"/>
  <c r="F863" i="79"/>
  <c r="F864" i="79"/>
  <c r="F865" i="79"/>
  <c r="F866" i="79"/>
  <c r="F867" i="79"/>
  <c r="F868" i="79"/>
  <c r="F869" i="79"/>
  <c r="F870" i="79"/>
  <c r="F871" i="79"/>
  <c r="F872" i="79"/>
  <c r="F873" i="79"/>
  <c r="F874" i="79"/>
  <c r="F875" i="79"/>
  <c r="F876" i="79"/>
  <c r="F877" i="79"/>
  <c r="F878" i="79"/>
  <c r="F879" i="79"/>
  <c r="F880" i="79"/>
  <c r="F881" i="79"/>
  <c r="F882" i="79"/>
  <c r="F883" i="79"/>
  <c r="F884" i="79"/>
  <c r="F885" i="79"/>
  <c r="F886" i="79"/>
  <c r="F887" i="79"/>
  <c r="F888" i="79"/>
  <c r="F889" i="79"/>
  <c r="F890" i="79"/>
  <c r="F891" i="79"/>
  <c r="F892" i="79"/>
  <c r="F893" i="79"/>
  <c r="F894" i="79"/>
  <c r="F895" i="79"/>
  <c r="F896" i="79"/>
  <c r="F897" i="79"/>
  <c r="F898" i="79"/>
  <c r="F899" i="79"/>
  <c r="F900" i="79"/>
  <c r="F901" i="79"/>
  <c r="F902" i="79"/>
  <c r="F903" i="79"/>
  <c r="F904" i="79"/>
  <c r="F905" i="79"/>
  <c r="F906" i="79"/>
  <c r="F907" i="79"/>
  <c r="F908" i="79"/>
  <c r="F909" i="79"/>
  <c r="F910" i="79"/>
  <c r="F911" i="79"/>
  <c r="F912" i="79"/>
  <c r="F913" i="79"/>
  <c r="F914" i="79"/>
  <c r="F915" i="79"/>
  <c r="F916" i="79"/>
  <c r="F917" i="79"/>
  <c r="F918" i="79"/>
  <c r="F919" i="79"/>
  <c r="F920" i="79"/>
  <c r="F921" i="79"/>
  <c r="F922" i="79"/>
  <c r="F923" i="79"/>
  <c r="F924" i="79"/>
  <c r="F925" i="79"/>
  <c r="F926" i="79"/>
  <c r="F927" i="79"/>
  <c r="F928" i="79"/>
  <c r="F929" i="79"/>
  <c r="F930" i="79"/>
  <c r="F931" i="79"/>
  <c r="F932" i="79"/>
  <c r="F933" i="79"/>
  <c r="F934" i="79"/>
  <c r="F935" i="79"/>
  <c r="F936" i="79"/>
  <c r="F937" i="79"/>
  <c r="F938" i="79"/>
  <c r="F939" i="79"/>
  <c r="F940" i="79"/>
  <c r="F941" i="79"/>
  <c r="F942" i="79"/>
  <c r="F943" i="79"/>
  <c r="F944" i="79"/>
  <c r="F945" i="79"/>
  <c r="F946" i="79"/>
  <c r="F947" i="79"/>
  <c r="F948" i="79"/>
  <c r="F949" i="79"/>
  <c r="F950" i="79"/>
  <c r="F951" i="79"/>
  <c r="F952" i="79"/>
  <c r="F953" i="79"/>
  <c r="F954" i="79"/>
  <c r="F955" i="79"/>
  <c r="F956" i="79"/>
  <c r="F957" i="79"/>
  <c r="F958" i="79"/>
  <c r="F959" i="79"/>
  <c r="F960" i="79"/>
  <c r="F961" i="79"/>
  <c r="F962" i="79"/>
  <c r="F963" i="79"/>
  <c r="F964" i="79"/>
  <c r="F965" i="79"/>
  <c r="F966" i="79"/>
  <c r="F967" i="79"/>
  <c r="F968" i="79"/>
  <c r="F969" i="79"/>
  <c r="F970" i="79"/>
  <c r="F971" i="79"/>
  <c r="F972" i="79"/>
  <c r="F973" i="79"/>
  <c r="F974" i="79"/>
  <c r="F975" i="79"/>
  <c r="F976" i="79"/>
  <c r="F977" i="79"/>
  <c r="F978" i="79"/>
  <c r="F979" i="79"/>
  <c r="F980" i="79"/>
  <c r="F981" i="79"/>
  <c r="F982" i="79"/>
  <c r="F983" i="79"/>
  <c r="F984" i="79"/>
  <c r="F985" i="79"/>
  <c r="F986" i="79"/>
  <c r="F987" i="79"/>
  <c r="F988" i="79"/>
  <c r="F989" i="79"/>
  <c r="F990" i="79"/>
  <c r="F991" i="79"/>
  <c r="F992" i="79"/>
  <c r="F993" i="79"/>
  <c r="F994" i="79"/>
  <c r="F995" i="79"/>
  <c r="F996" i="79"/>
  <c r="F997" i="79"/>
  <c r="F998" i="79"/>
  <c r="F999" i="79"/>
  <c r="F1000" i="79"/>
  <c r="F1001" i="79"/>
  <c r="F1002" i="79"/>
  <c r="F1003" i="79"/>
  <c r="F1004" i="79"/>
  <c r="F1005" i="79"/>
  <c r="F1006" i="79"/>
  <c r="F1007" i="79"/>
  <c r="F1008" i="79"/>
  <c r="F1009" i="79"/>
  <c r="F1010" i="79"/>
  <c r="F1011" i="79"/>
  <c r="F1012" i="79"/>
  <c r="F1013" i="79"/>
  <c r="F1014" i="79"/>
  <c r="F1015" i="79"/>
  <c r="F1016" i="79"/>
  <c r="F1017" i="79"/>
  <c r="F1018" i="79"/>
  <c r="F1019" i="79"/>
  <c r="F1020" i="79"/>
  <c r="F1021" i="79"/>
  <c r="F1022" i="79"/>
  <c r="F1023" i="79"/>
  <c r="F1024" i="79"/>
  <c r="F1025" i="79"/>
  <c r="F1026" i="79"/>
  <c r="F1027" i="79"/>
  <c r="F1028" i="79"/>
  <c r="F1029" i="79"/>
  <c r="F1030" i="79"/>
  <c r="F1031" i="79"/>
  <c r="F1032" i="79"/>
  <c r="F1033" i="79"/>
  <c r="F1034" i="79"/>
  <c r="F1035" i="79"/>
  <c r="F1036" i="79"/>
  <c r="F1037" i="79"/>
  <c r="F1038" i="79"/>
  <c r="F1039" i="79"/>
  <c r="F1040" i="79"/>
  <c r="F1041" i="79"/>
  <c r="F1042" i="79"/>
  <c r="F1043" i="79"/>
  <c r="F1044" i="79"/>
  <c r="F1045" i="79"/>
  <c r="F1046" i="79"/>
  <c r="F1047" i="79"/>
  <c r="F1048" i="79"/>
  <c r="F1049" i="79"/>
  <c r="F1050" i="79"/>
  <c r="F1051" i="79"/>
  <c r="F1052" i="79"/>
  <c r="F1053" i="79"/>
  <c r="F1054" i="79"/>
  <c r="F1055" i="79"/>
  <c r="F1056" i="79"/>
  <c r="F1057" i="79"/>
  <c r="F1058" i="79"/>
  <c r="F1059" i="79"/>
  <c r="F1060" i="79"/>
  <c r="F1061" i="79"/>
  <c r="F1062" i="79"/>
  <c r="F1063" i="79"/>
  <c r="F1064" i="79"/>
  <c r="F1065" i="79"/>
  <c r="F1066" i="79"/>
  <c r="F1067" i="79"/>
  <c r="F1068" i="79"/>
  <c r="F1069" i="79"/>
  <c r="F1070" i="79"/>
  <c r="F1071" i="79"/>
  <c r="F1072" i="79"/>
  <c r="F1073" i="79"/>
  <c r="F1074" i="79"/>
  <c r="F1075" i="79"/>
  <c r="F1076" i="79"/>
  <c r="F1077" i="79"/>
  <c r="F1078" i="79"/>
  <c r="F1079" i="79"/>
  <c r="F1080" i="79"/>
  <c r="F1081" i="79"/>
  <c r="F1082" i="79"/>
  <c r="F1083" i="79"/>
  <c r="F1084" i="79"/>
  <c r="F1085" i="79"/>
  <c r="F1086" i="79"/>
  <c r="F1087" i="79"/>
  <c r="F1088" i="79"/>
  <c r="F1089" i="79"/>
  <c r="F1090" i="79"/>
  <c r="F1091" i="79"/>
  <c r="F1092" i="79"/>
  <c r="F1093" i="79"/>
  <c r="F1094" i="79"/>
  <c r="F1095" i="79"/>
  <c r="F1096" i="79"/>
  <c r="F1097" i="79"/>
  <c r="F1098" i="79"/>
  <c r="F1099" i="79"/>
  <c r="F1100" i="79"/>
  <c r="F1101" i="79"/>
  <c r="F1102" i="79"/>
  <c r="F1103" i="79"/>
  <c r="F1104" i="79"/>
  <c r="F1105" i="79"/>
  <c r="F1106" i="79"/>
  <c r="F1107" i="79"/>
  <c r="F1108" i="79"/>
  <c r="F1109" i="79"/>
  <c r="F1110" i="79"/>
  <c r="F1111" i="79"/>
  <c r="F1112" i="79"/>
  <c r="F1113" i="79"/>
  <c r="F1114" i="79"/>
  <c r="F1115" i="79"/>
  <c r="F1116" i="79"/>
  <c r="F1117" i="79"/>
  <c r="F1118" i="79"/>
  <c r="F1119" i="79"/>
  <c r="F1120" i="7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sulta - DIRECTORIO ACTIVO" description="Conexión a la consulta 'DIRECTORIO ACTIVO' en el libro." type="100" refreshedVersion="5" minRefreshableVersion="5">
    <extLst>
      <ext xmlns:x15="http://schemas.microsoft.com/office/spreadsheetml/2010/11/main" uri="{DE250136-89BD-433C-8126-D09CA5730AF9}">
        <x15:connection id="c7d178b9-8689-4afb-bf35-63ee85f74bc6"/>
      </ext>
    </extLst>
  </connection>
  <connection id="2" xr16:uid="{00000000-0015-0000-FFFF-FFFF01000000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<sst xmlns="http://schemas.openxmlformats.org/spreadsheetml/2006/main" count="6121" uniqueCount="3141">
  <si>
    <t>CODIGO_DEPTO</t>
  </si>
  <si>
    <t>NOMBRE_DEPTO</t>
  </si>
  <si>
    <t>PROVINCIA</t>
  </si>
  <si>
    <t>NOMBRE_MPIO</t>
  </si>
  <si>
    <t>CODIGO_MPIO2</t>
  </si>
  <si>
    <t>MUNICIO Y DEPARTAMENTO</t>
  </si>
  <si>
    <t>CÓDIGO MUNICIPIO</t>
  </si>
  <si>
    <t>DESC_PAIS</t>
  </si>
  <si>
    <t>ID_PAIS</t>
  </si>
  <si>
    <t>ANTIOQUIA</t>
  </si>
  <si>
    <t>ORIENTE</t>
  </si>
  <si>
    <t>ABEJORRAL</t>
  </si>
  <si>
    <t>05002</t>
  </si>
  <si>
    <t>AFGANISTÁN</t>
  </si>
  <si>
    <t>NORTE DE SANTANDER</t>
  </si>
  <si>
    <t>OCCIDENTE</t>
  </si>
  <si>
    <t>ABREGO</t>
  </si>
  <si>
    <t>54003</t>
  </si>
  <si>
    <t>ALBANIA</t>
  </si>
  <si>
    <t>ABRIAQUÍ</t>
  </si>
  <si>
    <t>05004</t>
  </si>
  <si>
    <t>ALEMANIA</t>
  </si>
  <si>
    <t>META</t>
  </si>
  <si>
    <t>PIEDEMONTE</t>
  </si>
  <si>
    <t>ACACiAS</t>
  </si>
  <si>
    <t>50006</t>
  </si>
  <si>
    <t>ANDORRA</t>
  </si>
  <si>
    <t>CHOCO</t>
  </si>
  <si>
    <t>DARIEN</t>
  </si>
  <si>
    <t>ACANDÍ</t>
  </si>
  <si>
    <t>27006</t>
  </si>
  <si>
    <t>ANGOLA</t>
  </si>
  <si>
    <t>HUILA</t>
  </si>
  <si>
    <t>SUR</t>
  </si>
  <si>
    <t>ACEVEDO</t>
  </si>
  <si>
    <t>41006</t>
  </si>
  <si>
    <t>ANGUILA</t>
  </si>
  <si>
    <t>BOLIVAR</t>
  </si>
  <si>
    <t>MOJANA BOLIVARENSE</t>
  </si>
  <si>
    <t>ACHÍ</t>
  </si>
  <si>
    <t>13006</t>
  </si>
  <si>
    <t>ANTÁRTIDA</t>
  </si>
  <si>
    <t>CENTRO</t>
  </si>
  <si>
    <t>AGRADO</t>
  </si>
  <si>
    <t>41013</t>
  </si>
  <si>
    <t>ANTIGUA Y BARBUDA</t>
  </si>
  <si>
    <t>CUNDINAMARCA</t>
  </si>
  <si>
    <t>ALTO MAGDALENA</t>
  </si>
  <si>
    <t>AGUA DE DIOS</t>
  </si>
  <si>
    <t>25001</t>
  </si>
  <si>
    <t>ANTILLAS NEERLANDESAS</t>
  </si>
  <si>
    <t>CESAR</t>
  </si>
  <si>
    <t xml:space="preserve">SUR </t>
  </si>
  <si>
    <t>AGUACHICA</t>
  </si>
  <si>
    <t>20011</t>
  </si>
  <si>
    <t>ARABIA SAUDITA</t>
  </si>
  <si>
    <t>SANTANDER</t>
  </si>
  <si>
    <t>VELEZ</t>
  </si>
  <si>
    <t>AGUADA</t>
  </si>
  <si>
    <t>68013</t>
  </si>
  <si>
    <t>ARGEL</t>
  </si>
  <si>
    <t>CALDAS</t>
  </si>
  <si>
    <t>NORTE</t>
  </si>
  <si>
    <t>AGUADAS</t>
  </si>
  <si>
    <t>17013</t>
  </si>
  <si>
    <t>ARGENTINA</t>
  </si>
  <si>
    <t>CASANARE</t>
  </si>
  <si>
    <t>AGUAZUL</t>
  </si>
  <si>
    <t>85010</t>
  </si>
  <si>
    <t>ARMENIA</t>
  </si>
  <si>
    <t>AGUSTÍN CODAZZI</t>
  </si>
  <si>
    <t>20013</t>
  </si>
  <si>
    <t>ARUBA</t>
  </si>
  <si>
    <t>AIPE</t>
  </si>
  <si>
    <t>41016</t>
  </si>
  <si>
    <t>AUSTRALIA</t>
  </si>
  <si>
    <t>GUALIVA</t>
  </si>
  <si>
    <t>ALBÁN</t>
  </si>
  <si>
    <t>25019</t>
  </si>
  <si>
    <t>AUSTRIA</t>
  </si>
  <si>
    <t>NARIÑO</t>
  </si>
  <si>
    <t>ALBAN</t>
  </si>
  <si>
    <t>52019</t>
  </si>
  <si>
    <t>AZERBAIYÁN</t>
  </si>
  <si>
    <t>CAQUETA</t>
  </si>
  <si>
    <t>18029</t>
  </si>
  <si>
    <t>BAHAMAS</t>
  </si>
  <si>
    <t>LA GUAJIRA</t>
  </si>
  <si>
    <t>44035</t>
  </si>
  <si>
    <t>BAHRÉIN</t>
  </si>
  <si>
    <t>68020</t>
  </si>
  <si>
    <t>BANGLADESH</t>
  </si>
  <si>
    <t>VALLE DEL CAUCA</t>
  </si>
  <si>
    <t>ALCALa</t>
  </si>
  <si>
    <t>76020</t>
  </si>
  <si>
    <t>BARBADOS</t>
  </si>
  <si>
    <t>ALDANA</t>
  </si>
  <si>
    <t>52022</t>
  </si>
  <si>
    <t>BELARÚS</t>
  </si>
  <si>
    <t>ALEJANDRÍA</t>
  </si>
  <si>
    <t>05021</t>
  </si>
  <si>
    <t>BÉLGICA</t>
  </si>
  <si>
    <t>MAGDALENA</t>
  </si>
  <si>
    <t>ALGARROBO</t>
  </si>
  <si>
    <t>47030</t>
  </si>
  <si>
    <t>BELICE</t>
  </si>
  <si>
    <t>ALGECIRAS</t>
  </si>
  <si>
    <t>41020</t>
  </si>
  <si>
    <t>BENIN</t>
  </si>
  <si>
    <t>CAUCA</t>
  </si>
  <si>
    <t>ALMAGUER</t>
  </si>
  <si>
    <t>19022</t>
  </si>
  <si>
    <t>BERMUDAS</t>
  </si>
  <si>
    <t>BOYACÁ</t>
  </si>
  <si>
    <t>ALMEIDA</t>
  </si>
  <si>
    <t>15022</t>
  </si>
  <si>
    <t>BHUTÁN</t>
  </si>
  <si>
    <t>TOLIMA</t>
  </si>
  <si>
    <t>SURORIENTE</t>
  </si>
  <si>
    <t>ALPUJARRA</t>
  </si>
  <si>
    <t>73024</t>
  </si>
  <si>
    <t>BOLIVIA</t>
  </si>
  <si>
    <t>ALTAMIRA</t>
  </si>
  <si>
    <t>41026</t>
  </si>
  <si>
    <t>BONAIRE, SAN EUSTAQUIO Y SABA</t>
  </si>
  <si>
    <t>PACIFICO SUR</t>
  </si>
  <si>
    <t>ALTO BAUDÓ</t>
  </si>
  <si>
    <t>27025</t>
  </si>
  <si>
    <t>BOSNIA Y HERZEGOVINA</t>
  </si>
  <si>
    <t>LOBA</t>
  </si>
  <si>
    <t>ALTOS DEL ROSARIO</t>
  </si>
  <si>
    <t>13030</t>
  </si>
  <si>
    <t>BOTSUANA</t>
  </si>
  <si>
    <t>IBAGUE</t>
  </si>
  <si>
    <t>ALVARADO</t>
  </si>
  <si>
    <t>73026</t>
  </si>
  <si>
    <t>BRASIL</t>
  </si>
  <si>
    <t>SUROESTE</t>
  </si>
  <si>
    <t>AMAGa</t>
  </si>
  <si>
    <t>05030</t>
  </si>
  <si>
    <t>BRUNÉI</t>
  </si>
  <si>
    <t>NORDESTE</t>
  </si>
  <si>
    <t>AMALFI</t>
  </si>
  <si>
    <t>05031</t>
  </si>
  <si>
    <t>BULGARIA</t>
  </si>
  <si>
    <t>AMBALEMA</t>
  </si>
  <si>
    <t>73030</t>
  </si>
  <si>
    <t>BURKINA FASO</t>
  </si>
  <si>
    <t>TEQUENDAMA</t>
  </si>
  <si>
    <t>ANAPOIMA</t>
  </si>
  <si>
    <t>25035</t>
  </si>
  <si>
    <t>BURUNDI</t>
  </si>
  <si>
    <t>CENTRO OCCIDENTE</t>
  </si>
  <si>
    <t>ANCUYA</t>
  </si>
  <si>
    <t>52036</t>
  </si>
  <si>
    <t>CABO VERDE</t>
  </si>
  <si>
    <t>ANDALUCÍA</t>
  </si>
  <si>
    <t>76036</t>
  </si>
  <si>
    <t>CAMBOYA</t>
  </si>
  <si>
    <t>ANDES</t>
  </si>
  <si>
    <t>05034</t>
  </si>
  <si>
    <t>CAMERÚN</t>
  </si>
  <si>
    <t>ANGELOPOLIS</t>
  </si>
  <si>
    <t>05036</t>
  </si>
  <si>
    <t>CANADÁ</t>
  </si>
  <si>
    <t>ANGOSTURA</t>
  </si>
  <si>
    <t>05038</t>
  </si>
  <si>
    <t>CHAD</t>
  </si>
  <si>
    <t>ANOLAIMA</t>
  </si>
  <si>
    <t>25040</t>
  </si>
  <si>
    <t>CHILE</t>
  </si>
  <si>
    <t>ANORÍ</t>
  </si>
  <si>
    <t>05040</t>
  </si>
  <si>
    <t>CHINA</t>
  </si>
  <si>
    <t>BAJO OCCIDENTE</t>
  </si>
  <si>
    <t>ANSERMA</t>
  </si>
  <si>
    <t>17042</t>
  </si>
  <si>
    <t>CHIPRE</t>
  </si>
  <si>
    <t>ANSERMANUEVO</t>
  </si>
  <si>
    <t>76041</t>
  </si>
  <si>
    <t>CIUDAD DEL VATICANO</t>
  </si>
  <si>
    <t>ANZA</t>
  </si>
  <si>
    <t>05044</t>
  </si>
  <si>
    <t>COLOMBIA</t>
  </si>
  <si>
    <t>ANZOÁTEGUI</t>
  </si>
  <si>
    <t>73043</t>
  </si>
  <si>
    <t>COMOROS</t>
  </si>
  <si>
    <t>URABA</t>
  </si>
  <si>
    <t>APARTADÓ</t>
  </si>
  <si>
    <t>05045</t>
  </si>
  <si>
    <t>CONGO</t>
  </si>
  <si>
    <t>RISARALDA</t>
  </si>
  <si>
    <t>DOS - VERTIENTE OCCIDENTAL</t>
  </si>
  <si>
    <t>APÍA</t>
  </si>
  <si>
    <t>66045</t>
  </si>
  <si>
    <t>CONGO (LA REPÚBLICA DEMOCRÁTICA DEL)</t>
  </si>
  <si>
    <t>APULO</t>
  </si>
  <si>
    <t>25599</t>
  </si>
  <si>
    <t>COREA DEL NORTE</t>
  </si>
  <si>
    <t>SUGAMUXI</t>
  </si>
  <si>
    <t>AQUITANIA</t>
  </si>
  <si>
    <t>15047</t>
  </si>
  <si>
    <t>COREA DEL SUR</t>
  </si>
  <si>
    <t>ARACATACA</t>
  </si>
  <si>
    <t>47053</t>
  </si>
  <si>
    <t>COSTA DE MARFIL</t>
  </si>
  <si>
    <t>ARANZAZU</t>
  </si>
  <si>
    <t>17050</t>
  </si>
  <si>
    <t>COSTA RICA</t>
  </si>
  <si>
    <t>GUANENTA</t>
  </si>
  <si>
    <t>ARATOCA</t>
  </si>
  <si>
    <t>68051</t>
  </si>
  <si>
    <t>CROACIA</t>
  </si>
  <si>
    <t>ARAUCA</t>
  </si>
  <si>
    <t>81001</t>
  </si>
  <si>
    <t>CUBA</t>
  </si>
  <si>
    <t>ARAUQUITA</t>
  </si>
  <si>
    <t>81065</t>
  </si>
  <si>
    <t>CURAÇAO</t>
  </si>
  <si>
    <t>SUMAPAZ</t>
  </si>
  <si>
    <t>ARBELÁEZ</t>
  </si>
  <si>
    <t>25053</t>
  </si>
  <si>
    <t>DINAMARCA</t>
  </si>
  <si>
    <t>ARBOLEDA</t>
  </si>
  <si>
    <t>52051</t>
  </si>
  <si>
    <t>DOMÍNICA</t>
  </si>
  <si>
    <t>ARBOLEDAS</t>
  </si>
  <si>
    <t>54051</t>
  </si>
  <si>
    <t>ECUADOR</t>
  </si>
  <si>
    <t>ARBOLETES</t>
  </si>
  <si>
    <t>05051</t>
  </si>
  <si>
    <t>EGIPTO</t>
  </si>
  <si>
    <t>RICAURTE</t>
  </si>
  <si>
    <t>ARCABUCO</t>
  </si>
  <si>
    <t>15051</t>
  </si>
  <si>
    <t>EL SALVADOR</t>
  </si>
  <si>
    <t>MAGDALENA MEDIO BOLIVARENSE</t>
  </si>
  <si>
    <t>ARENAL</t>
  </si>
  <si>
    <t>13042</t>
  </si>
  <si>
    <t>EMIRATOS ÁRABES UNIDOS</t>
  </si>
  <si>
    <t>ARGELIA</t>
  </si>
  <si>
    <t>05055</t>
  </si>
  <si>
    <t>ERITREA</t>
  </si>
  <si>
    <t>19050</t>
  </si>
  <si>
    <t>ESLOVAQUIA</t>
  </si>
  <si>
    <t>76054</t>
  </si>
  <si>
    <t>ESLOVENIA</t>
  </si>
  <si>
    <t>ARIGUANÍ</t>
  </si>
  <si>
    <t>47058</t>
  </si>
  <si>
    <t>ESPAÑA</t>
  </si>
  <si>
    <t>DIQUE BOLIVARENSE</t>
  </si>
  <si>
    <t>ARJONA</t>
  </si>
  <si>
    <t>13052</t>
  </si>
  <si>
    <t>ESTADOS UNIDOS DE AMÉRICA</t>
  </si>
  <si>
    <t>05059</t>
  </si>
  <si>
    <t>ESTONIA</t>
  </si>
  <si>
    <t>QUINDIO</t>
  </si>
  <si>
    <t>CAPITAL</t>
  </si>
  <si>
    <t>63001</t>
  </si>
  <si>
    <t>ETIOPÍA</t>
  </si>
  <si>
    <t>ARMERO</t>
  </si>
  <si>
    <t>73055</t>
  </si>
  <si>
    <t>FIJI</t>
  </si>
  <si>
    <t>ARROYOHONDO</t>
  </si>
  <si>
    <t>13062</t>
  </si>
  <si>
    <t>FILIPINAS</t>
  </si>
  <si>
    <t>NOROCCIDENTAL</t>
  </si>
  <si>
    <t>ASTREA</t>
  </si>
  <si>
    <t>20032</t>
  </si>
  <si>
    <t>FINLANDIA</t>
  </si>
  <si>
    <t>ATACO</t>
  </si>
  <si>
    <t>73067</t>
  </si>
  <si>
    <t>FRANCIA</t>
  </si>
  <si>
    <t>ATRATO</t>
  </si>
  <si>
    <t>27050</t>
  </si>
  <si>
    <t>GABÓN</t>
  </si>
  <si>
    <t>CORDOBA</t>
  </si>
  <si>
    <t>SAN JORGE</t>
  </si>
  <si>
    <t>AYAPEL</t>
  </si>
  <si>
    <t>23068</t>
  </si>
  <si>
    <t>GAMBIA</t>
  </si>
  <si>
    <t>BAGADÓ</t>
  </si>
  <si>
    <t>27073</t>
  </si>
  <si>
    <t>GEORGIA</t>
  </si>
  <si>
    <t>PACIFICO NORTE</t>
  </si>
  <si>
    <t>BAHÍA SOLANO</t>
  </si>
  <si>
    <t>27075</t>
  </si>
  <si>
    <t>GEORGIA DEL SUR E ISLAS SANDWICH DEL SUR</t>
  </si>
  <si>
    <t>BAJO BAUDÓ</t>
  </si>
  <si>
    <t>27077</t>
  </si>
  <si>
    <t>GHANA</t>
  </si>
  <si>
    <t>BALBOA</t>
  </si>
  <si>
    <t>19075</t>
  </si>
  <si>
    <t>GIBRALTAR</t>
  </si>
  <si>
    <t>66075</t>
  </si>
  <si>
    <t>GRANADA</t>
  </si>
  <si>
    <t>ATLÁNTICO</t>
  </si>
  <si>
    <t>CENTRO ORIENTE</t>
  </si>
  <si>
    <t>BARANOA</t>
  </si>
  <si>
    <t>08078</t>
  </si>
  <si>
    <t>GRECIA</t>
  </si>
  <si>
    <t>BARAYA</t>
  </si>
  <si>
    <t>41078</t>
  </si>
  <si>
    <t>GROENLANDIA</t>
  </si>
  <si>
    <t>COSTA</t>
  </si>
  <si>
    <t>BARBACOAS</t>
  </si>
  <si>
    <t>52079</t>
  </si>
  <si>
    <t>GUADALUPE</t>
  </si>
  <si>
    <t>VALLE DEL ABURRA</t>
  </si>
  <si>
    <t>BARBOSA</t>
  </si>
  <si>
    <t>05079</t>
  </si>
  <si>
    <t>GUAM</t>
  </si>
  <si>
    <t>68077</t>
  </si>
  <si>
    <t>GUATEMALA</t>
  </si>
  <si>
    <t>BARICHARA</t>
  </si>
  <si>
    <t>68079</t>
  </si>
  <si>
    <t>GUAYANA</t>
  </si>
  <si>
    <t>BARRANCA DE UPIA</t>
  </si>
  <si>
    <t>50110</t>
  </si>
  <si>
    <t>GUAYANA FRANCESA</t>
  </si>
  <si>
    <t>MARES</t>
  </si>
  <si>
    <t>BARRANCABERMEJA</t>
  </si>
  <si>
    <t>68081</t>
  </si>
  <si>
    <t>GUERNSEY</t>
  </si>
  <si>
    <t>BARRANCAS</t>
  </si>
  <si>
    <t>44078</t>
  </si>
  <si>
    <t>GUINEA</t>
  </si>
  <si>
    <t>BARRANCO DE LOBA</t>
  </si>
  <si>
    <t>13074</t>
  </si>
  <si>
    <t>GUINEA ECUATORIAL</t>
  </si>
  <si>
    <t>GUAINIA</t>
  </si>
  <si>
    <t>BARRANCO MINA</t>
  </si>
  <si>
    <t>94343</t>
  </si>
  <si>
    <t>GUINEA-BISSAU</t>
  </si>
  <si>
    <t>BARRANQUILLA</t>
  </si>
  <si>
    <t>08001</t>
  </si>
  <si>
    <t>HAITÍ</t>
  </si>
  <si>
    <t>CENTRAL</t>
  </si>
  <si>
    <t>BECERRIL</t>
  </si>
  <si>
    <t>20045</t>
  </si>
  <si>
    <t>HONDURAS</t>
  </si>
  <si>
    <t>BELALCÁZAR</t>
  </si>
  <si>
    <t>17088</t>
  </si>
  <si>
    <t>HONG KONG</t>
  </si>
  <si>
    <t>TUNDAMA</t>
  </si>
  <si>
    <t>BELÉN</t>
  </si>
  <si>
    <t>15087</t>
  </si>
  <si>
    <t>HUNGRÍA</t>
  </si>
  <si>
    <t>BELEN</t>
  </si>
  <si>
    <t>52083</t>
  </si>
  <si>
    <t>INDIA</t>
  </si>
  <si>
    <t>BELÉN DE BAJIRA</t>
  </si>
  <si>
    <t>27086</t>
  </si>
  <si>
    <t>INDONESIA</t>
  </si>
  <si>
    <t>BELÉN DE LOS ANDAQUIES</t>
  </si>
  <si>
    <t>18094</t>
  </si>
  <si>
    <t>IRAK</t>
  </si>
  <si>
    <t>BELÉN DE UMBRÍA</t>
  </si>
  <si>
    <t>66088</t>
  </si>
  <si>
    <t>IRÁN</t>
  </si>
  <si>
    <t>BELLO</t>
  </si>
  <si>
    <t>05088</t>
  </si>
  <si>
    <t>IRLANDA</t>
  </si>
  <si>
    <t>BELMIRA</t>
  </si>
  <si>
    <t>05086</t>
  </si>
  <si>
    <t>ISLA BOUVET</t>
  </si>
  <si>
    <t>MAGDALENA CENTRO</t>
  </si>
  <si>
    <t>BELTRÁN</t>
  </si>
  <si>
    <t>25086</t>
  </si>
  <si>
    <t>ISLA DE MAN</t>
  </si>
  <si>
    <t>LENGUPA</t>
  </si>
  <si>
    <t>BERBEO</t>
  </si>
  <si>
    <t>15090</t>
  </si>
  <si>
    <t>ISLANDIA</t>
  </si>
  <si>
    <t>BETANIA</t>
  </si>
  <si>
    <t>05091</t>
  </si>
  <si>
    <t>ISLAS ÁLAND</t>
  </si>
  <si>
    <t>VALDERRAMA</t>
  </si>
  <si>
    <t>BETÉITIVA</t>
  </si>
  <si>
    <t>15092</t>
  </si>
  <si>
    <t>ISLAS CAIMÁN</t>
  </si>
  <si>
    <t>BETULIA</t>
  </si>
  <si>
    <t>05093</t>
  </si>
  <si>
    <t>ISLAS CHRISTMAS</t>
  </si>
  <si>
    <t>68092</t>
  </si>
  <si>
    <t>ISLAS COCOS</t>
  </si>
  <si>
    <t>BITUIMA</t>
  </si>
  <si>
    <t>25095</t>
  </si>
  <si>
    <t>ISLAS COOK</t>
  </si>
  <si>
    <t>BOAVITA</t>
  </si>
  <si>
    <t>15097</t>
  </si>
  <si>
    <t>ISLAS FAROE</t>
  </si>
  <si>
    <t>SUR ORIENTE</t>
  </si>
  <si>
    <t>BOCHALEMA</t>
  </si>
  <si>
    <t>54099</t>
  </si>
  <si>
    <t>ISLAS HEARD Y MCDONALD</t>
  </si>
  <si>
    <t>BOGOTÁ D.C.</t>
  </si>
  <si>
    <t>BOGOTA</t>
  </si>
  <si>
    <t>BOGOTA D.C.</t>
  </si>
  <si>
    <t>11001</t>
  </si>
  <si>
    <t>ISLAS MALVINAS</t>
  </si>
  <si>
    <t>SABANA OCCIDENTE</t>
  </si>
  <si>
    <t>BOJACÁ</t>
  </si>
  <si>
    <t>25099</t>
  </si>
  <si>
    <t>ISLAS MARSHALL</t>
  </si>
  <si>
    <t>BOJAYA</t>
  </si>
  <si>
    <t>27099</t>
  </si>
  <si>
    <t>ISLAS NORKFOLK</t>
  </si>
  <si>
    <t>BOLÍVAR</t>
  </si>
  <si>
    <t>19100</t>
  </si>
  <si>
    <t>ISLAS PALAOS</t>
  </si>
  <si>
    <t>68101</t>
  </si>
  <si>
    <t>ISLAS PITCAIRN</t>
  </si>
  <si>
    <t>76100</t>
  </si>
  <si>
    <t>ISLAS SOLOMÓN</t>
  </si>
  <si>
    <t>BOSCONIA</t>
  </si>
  <si>
    <t>20060</t>
  </si>
  <si>
    <t>ISLAS SVALBARD Y JAN MAYEN</t>
  </si>
  <si>
    <t>MARQUEZ</t>
  </si>
  <si>
    <t>15104</t>
  </si>
  <si>
    <t>ISLAS TURCAS Y CAICOS</t>
  </si>
  <si>
    <t>BRICEÑO</t>
  </si>
  <si>
    <t>05107</t>
  </si>
  <si>
    <t>ISLAS ULTRAMARINAS MENORES DE LOS EEUU (LAS)</t>
  </si>
  <si>
    <t>15106</t>
  </si>
  <si>
    <t>ISLAS VÍRGENES BRITÁNICAS</t>
  </si>
  <si>
    <t>SOTO</t>
  </si>
  <si>
    <t>BUCARAMANGA</t>
  </si>
  <si>
    <t>68001</t>
  </si>
  <si>
    <t>ISLAS VÍRGENES DE LOS ESTADOS UNIDOS DE AMÉRICA</t>
  </si>
  <si>
    <t>BUCARASICA</t>
  </si>
  <si>
    <t>54109</t>
  </si>
  <si>
    <t>ISRAEL</t>
  </si>
  <si>
    <t>BUENAVENTURA</t>
  </si>
  <si>
    <t>76109</t>
  </si>
  <si>
    <t>ITALIA</t>
  </si>
  <si>
    <t>BUENAVISTA</t>
  </si>
  <si>
    <t>15109</t>
  </si>
  <si>
    <t>JAMAICA</t>
  </si>
  <si>
    <t>23079</t>
  </si>
  <si>
    <t>JAPÓN</t>
  </si>
  <si>
    <t>63111</t>
  </si>
  <si>
    <t>JERSEY</t>
  </si>
  <si>
    <t>SUCRE</t>
  </si>
  <si>
    <t>SABANAS</t>
  </si>
  <si>
    <t>70110</t>
  </si>
  <si>
    <t>JORDANIA</t>
  </si>
  <si>
    <t>BUENOS AIRES</t>
  </si>
  <si>
    <t>19110</t>
  </si>
  <si>
    <t>KAZAJSTÁN</t>
  </si>
  <si>
    <t>BUESACO</t>
  </si>
  <si>
    <t>52110</t>
  </si>
  <si>
    <t>KENIA</t>
  </si>
  <si>
    <t>BUGA</t>
  </si>
  <si>
    <t>76111</t>
  </si>
  <si>
    <t>KIRGUISTÁN</t>
  </si>
  <si>
    <t>BUGALAGRANDE</t>
  </si>
  <si>
    <t>76113</t>
  </si>
  <si>
    <t>KIRIBATI</t>
  </si>
  <si>
    <t>BURITICÁ</t>
  </si>
  <si>
    <t>05113</t>
  </si>
  <si>
    <t>KUWAIT</t>
  </si>
  <si>
    <t>BUSBANZÁ</t>
  </si>
  <si>
    <t>15114</t>
  </si>
  <si>
    <t>LAOS</t>
  </si>
  <si>
    <t>CABRERA</t>
  </si>
  <si>
    <t>25120</t>
  </si>
  <si>
    <t>LESOTHO</t>
  </si>
  <si>
    <t>68121</t>
  </si>
  <si>
    <t>LETONIA</t>
  </si>
  <si>
    <t>RIO META</t>
  </si>
  <si>
    <t>CABUYARO</t>
  </si>
  <si>
    <t>50124</t>
  </si>
  <si>
    <t>LÍBANO</t>
  </si>
  <si>
    <t>CACAHUAL</t>
  </si>
  <si>
    <t>94886</t>
  </si>
  <si>
    <t>LIBERIA</t>
  </si>
  <si>
    <t>BAJO CAUCA</t>
  </si>
  <si>
    <t>CÁCERES</t>
  </si>
  <si>
    <t>05120</t>
  </si>
  <si>
    <t>LIBIA</t>
  </si>
  <si>
    <t>CACHIPAY</t>
  </si>
  <si>
    <t>25123</t>
  </si>
  <si>
    <t>LIECHTENSTEIN</t>
  </si>
  <si>
    <t>CACHIRÁ</t>
  </si>
  <si>
    <t>54128</t>
  </si>
  <si>
    <t>LITUANIA</t>
  </si>
  <si>
    <t>SUR OCCIDENTE</t>
  </si>
  <si>
    <t>CÁCOTA</t>
  </si>
  <si>
    <t>54125</t>
  </si>
  <si>
    <t>LUXEMBURGO</t>
  </si>
  <si>
    <t>CAICEDO</t>
  </si>
  <si>
    <t>05125</t>
  </si>
  <si>
    <t>MACAO</t>
  </si>
  <si>
    <t>CAICEDONIA</t>
  </si>
  <si>
    <t>76122</t>
  </si>
  <si>
    <t>MACEDONIA</t>
  </si>
  <si>
    <t>CAIMITO</t>
  </si>
  <si>
    <t>70124</t>
  </si>
  <si>
    <t>MADAGASCAR</t>
  </si>
  <si>
    <t>CAJAMARCA</t>
  </si>
  <si>
    <t>73124</t>
  </si>
  <si>
    <t>MALASIA</t>
  </si>
  <si>
    <t>CAJIBÍO</t>
  </si>
  <si>
    <t>19130</t>
  </si>
  <si>
    <t>MALAWI</t>
  </si>
  <si>
    <t>SABANA CENTRO</t>
  </si>
  <si>
    <t>CAJICÁ</t>
  </si>
  <si>
    <t>25126</t>
  </si>
  <si>
    <t>MALDIVAS</t>
  </si>
  <si>
    <t>CALAMAR</t>
  </si>
  <si>
    <t>13140</t>
  </si>
  <si>
    <t>MALI</t>
  </si>
  <si>
    <t>GUAVIARE</t>
  </si>
  <si>
    <t>95015</t>
  </si>
  <si>
    <t>MALTA</t>
  </si>
  <si>
    <t>CALARCA</t>
  </si>
  <si>
    <t>63130</t>
  </si>
  <si>
    <t>MARIANAS DEL NORTE, (LAS) ISLAS</t>
  </si>
  <si>
    <t>05129</t>
  </si>
  <si>
    <t>MARRUECOS</t>
  </si>
  <si>
    <t>15131</t>
  </si>
  <si>
    <t>MARTINICA</t>
  </si>
  <si>
    <t>CALDONO</t>
  </si>
  <si>
    <t>19137</t>
  </si>
  <si>
    <t>MAURICIO</t>
  </si>
  <si>
    <t>CALI</t>
  </si>
  <si>
    <t>76001</t>
  </si>
  <si>
    <t>MAURITANIA</t>
  </si>
  <si>
    <t>CALIFORNIA</t>
  </si>
  <si>
    <t>68132</t>
  </si>
  <si>
    <t>MAYOTTE</t>
  </si>
  <si>
    <t>CALIMA</t>
  </si>
  <si>
    <t>76126</t>
  </si>
  <si>
    <t>MÉXICO</t>
  </si>
  <si>
    <t>CALOTO</t>
  </si>
  <si>
    <t>19142</t>
  </si>
  <si>
    <t>MICRONESIA</t>
  </si>
  <si>
    <t>CAMPAMENTO</t>
  </si>
  <si>
    <t>05134</t>
  </si>
  <si>
    <t>MOLDOVA</t>
  </si>
  <si>
    <t>CAMPO DE LA CRUZ</t>
  </si>
  <si>
    <t>08137</t>
  </si>
  <si>
    <t>MÓNACO</t>
  </si>
  <si>
    <t>CAMPOALEGRE</t>
  </si>
  <si>
    <t>41132</t>
  </si>
  <si>
    <t>MONGOLIA</t>
  </si>
  <si>
    <t>CAMPOHERMOSO</t>
  </si>
  <si>
    <t>15135</t>
  </si>
  <si>
    <t>MONTENEGRO</t>
  </si>
  <si>
    <t>COSTANERA</t>
  </si>
  <si>
    <t>CANALETE</t>
  </si>
  <si>
    <t>23090</t>
  </si>
  <si>
    <t>MONTSERRAT</t>
  </si>
  <si>
    <t>CANDELARIA</t>
  </si>
  <si>
    <t>08141</t>
  </si>
  <si>
    <t>MOZAMBIQUE</t>
  </si>
  <si>
    <t>76130</t>
  </si>
  <si>
    <t>MYANMAR</t>
  </si>
  <si>
    <t>CANTAGALLO</t>
  </si>
  <si>
    <t>13160</t>
  </si>
  <si>
    <t>NAMIBIA</t>
  </si>
  <si>
    <t>SAN JUAN</t>
  </si>
  <si>
    <t>CANTON DE SAN PABLO</t>
  </si>
  <si>
    <t>27135</t>
  </si>
  <si>
    <t>NAURU</t>
  </si>
  <si>
    <t>CAÑASGORDAS</t>
  </si>
  <si>
    <t>05138</t>
  </si>
  <si>
    <t>NEPAL</t>
  </si>
  <si>
    <t>BAJO MAGDALENA</t>
  </si>
  <si>
    <t>CAPARRAPÍ</t>
  </si>
  <si>
    <t>25148</t>
  </si>
  <si>
    <t>NICARAGUA</t>
  </si>
  <si>
    <t>GARCIA ROVIRA</t>
  </si>
  <si>
    <t>CAPITANEJO</t>
  </si>
  <si>
    <t>68147</t>
  </si>
  <si>
    <t>NÍGER</t>
  </si>
  <si>
    <t>CAQUEZA</t>
  </si>
  <si>
    <t>25151</t>
  </si>
  <si>
    <t>NIGERIA</t>
  </si>
  <si>
    <t>MAGDALENA MEDIO</t>
  </si>
  <si>
    <t>CARACOLÍ</t>
  </si>
  <si>
    <t>05142</t>
  </si>
  <si>
    <t>NIUE</t>
  </si>
  <si>
    <t>CARAMANTA</t>
  </si>
  <si>
    <t>05145</t>
  </si>
  <si>
    <t>NORUEGA</t>
  </si>
  <si>
    <t>CARCASÍ</t>
  </si>
  <si>
    <t>68152</t>
  </si>
  <si>
    <t>NUEVA CALEDONIA</t>
  </si>
  <si>
    <t>CAREPA</t>
  </si>
  <si>
    <t>05147</t>
  </si>
  <si>
    <t>NUEVA ZELANDA</t>
  </si>
  <si>
    <t>CARMEN DE APICALÁ</t>
  </si>
  <si>
    <t>73148</t>
  </si>
  <si>
    <t>OMÁN</t>
  </si>
  <si>
    <t>MONTES DE MARIA</t>
  </si>
  <si>
    <t>CARMEN DE BOLÍVAR</t>
  </si>
  <si>
    <t>13244</t>
  </si>
  <si>
    <t>PAÍSES BAJOS</t>
  </si>
  <si>
    <t>UBATE</t>
  </si>
  <si>
    <t>CARMEN DE CARUPA</t>
  </si>
  <si>
    <t>25154</t>
  </si>
  <si>
    <t>PAKISTÁN</t>
  </si>
  <si>
    <t>CARMEN DE VIBORAL</t>
  </si>
  <si>
    <t>05148</t>
  </si>
  <si>
    <t>PALESTINA</t>
  </si>
  <si>
    <t>CARMÉN DEL DARIÉN</t>
  </si>
  <si>
    <t>27150</t>
  </si>
  <si>
    <t>PANAMÁ</t>
  </si>
  <si>
    <t>CAROLINA</t>
  </si>
  <si>
    <t>05150</t>
  </si>
  <si>
    <t>PAPÚA NUEVA GUINEA</t>
  </si>
  <si>
    <t>CARTAGENA</t>
  </si>
  <si>
    <t>13001</t>
  </si>
  <si>
    <t>PARAGUAY</t>
  </si>
  <si>
    <t>CARTAGENA DEL CHAIRÁ</t>
  </si>
  <si>
    <t>18150</t>
  </si>
  <si>
    <t>PERÚ</t>
  </si>
  <si>
    <t>CARTAGO</t>
  </si>
  <si>
    <t>76147</t>
  </si>
  <si>
    <t>POLINESIA FRANCESA</t>
  </si>
  <si>
    <t>VAUPES</t>
  </si>
  <si>
    <t>CARURU</t>
  </si>
  <si>
    <t>97161</t>
  </si>
  <si>
    <t>POLONIA</t>
  </si>
  <si>
    <t>NEVADOS</t>
  </si>
  <si>
    <t>CASABIANCA</t>
  </si>
  <si>
    <t>73152</t>
  </si>
  <si>
    <t>PORTUGAL</t>
  </si>
  <si>
    <t>CASTILLA LA NUEVA</t>
  </si>
  <si>
    <t>50150</t>
  </si>
  <si>
    <t>PUERTO RICO</t>
  </si>
  <si>
    <t>CAUCASIA</t>
  </si>
  <si>
    <t>05154</t>
  </si>
  <si>
    <t>QATAR</t>
  </si>
  <si>
    <t>CEPITÁ</t>
  </si>
  <si>
    <t>68160</t>
  </si>
  <si>
    <t>REINO UNIDO</t>
  </si>
  <si>
    <t>SINU MEDIO</t>
  </si>
  <si>
    <t>CERETÉ</t>
  </si>
  <si>
    <t>23162</t>
  </si>
  <si>
    <t>REPÚBLICA CENTRO-AFRICANA</t>
  </si>
  <si>
    <t>CERINZA</t>
  </si>
  <si>
    <t>15162</t>
  </si>
  <si>
    <t>REPÚBLICA CHECA</t>
  </si>
  <si>
    <t>CERRITO</t>
  </si>
  <si>
    <t>68162</t>
  </si>
  <si>
    <t>REPÚBLICA DOMINICANA</t>
  </si>
  <si>
    <t>RIO</t>
  </si>
  <si>
    <t>CERRO SAN ANTONIO</t>
  </si>
  <si>
    <t>47161</t>
  </si>
  <si>
    <t>REUNIÓN</t>
  </si>
  <si>
    <t>CERTEGUI</t>
  </si>
  <si>
    <t>27160</t>
  </si>
  <si>
    <t>RUANDA</t>
  </si>
  <si>
    <t>CHACHAGUI</t>
  </si>
  <si>
    <t>52240</t>
  </si>
  <si>
    <t>RUMANÍA</t>
  </si>
  <si>
    <t>CHAGUANÍ</t>
  </si>
  <si>
    <t>25168</t>
  </si>
  <si>
    <t>RUSIA</t>
  </si>
  <si>
    <t>CHALÁN</t>
  </si>
  <si>
    <t>70230</t>
  </si>
  <si>
    <t>SAHARA OCCIDENTAL</t>
  </si>
  <si>
    <t>CHAMEZA</t>
  </si>
  <si>
    <t>85015</t>
  </si>
  <si>
    <t>SAINT MARTIN (PARTE FRANCESA)</t>
  </si>
  <si>
    <t>CHAPARRAL</t>
  </si>
  <si>
    <t>73168</t>
  </si>
  <si>
    <t>SAMOA</t>
  </si>
  <si>
    <t>CHARALÁ</t>
  </si>
  <si>
    <t>68167</t>
  </si>
  <si>
    <t>SAMOA AMERICANA</t>
  </si>
  <si>
    <t>CHARTA</t>
  </si>
  <si>
    <t>68169</t>
  </si>
  <si>
    <t>SAN BARTOLOMÉ</t>
  </si>
  <si>
    <t>CHÍA</t>
  </si>
  <si>
    <t>25175</t>
  </si>
  <si>
    <t>SAN CRISTÓBAL Y NIEVES</t>
  </si>
  <si>
    <t>CHIBOLO</t>
  </si>
  <si>
    <t>47170</t>
  </si>
  <si>
    <t>SAN MARINO</t>
  </si>
  <si>
    <t>CHIGORODÓ</t>
  </si>
  <si>
    <t>05172</t>
  </si>
  <si>
    <t>SAN PEDRO Y MIQUELÓN</t>
  </si>
  <si>
    <t>BAJO SINU</t>
  </si>
  <si>
    <t>CHIMÁ</t>
  </si>
  <si>
    <t>23168</t>
  </si>
  <si>
    <t>SAN VICENTE Y LAS GRANADINAS</t>
  </si>
  <si>
    <t>COMUNERA</t>
  </si>
  <si>
    <t>CHIMA</t>
  </si>
  <si>
    <t>68176</t>
  </si>
  <si>
    <t>SANTA ELENA</t>
  </si>
  <si>
    <t>CHIMICHAGUA</t>
  </si>
  <si>
    <t>20175</t>
  </si>
  <si>
    <t>SANTA LUCÍA</t>
  </si>
  <si>
    <t>CHINÁCOTA</t>
  </si>
  <si>
    <t>54172</t>
  </si>
  <si>
    <t>SANTO TOMÉ Y PRÍNCIPE</t>
  </si>
  <si>
    <t>NEIRA</t>
  </si>
  <si>
    <t>CHINAVITA</t>
  </si>
  <si>
    <t>15172</t>
  </si>
  <si>
    <t>SENEGAL</t>
  </si>
  <si>
    <t>CHINCHINa</t>
  </si>
  <si>
    <t>17174</t>
  </si>
  <si>
    <t>SERBIA Y MONTENEGRO</t>
  </si>
  <si>
    <t>CHINÚ</t>
  </si>
  <si>
    <t>23182</t>
  </si>
  <si>
    <t>SEYCHELLES</t>
  </si>
  <si>
    <t>CHIPAQUE</t>
  </si>
  <si>
    <t>25178</t>
  </si>
  <si>
    <t>SIERRA LEONA</t>
  </si>
  <si>
    <t>CHIPATÁ</t>
  </si>
  <si>
    <t>68179</t>
  </si>
  <si>
    <t>SINGAPUR</t>
  </si>
  <si>
    <t>CHIQUINQUIRÁ</t>
  </si>
  <si>
    <t>15176</t>
  </si>
  <si>
    <t>SINT MAARTEN (PARTE NEERLANDESA)</t>
  </si>
  <si>
    <t>CHÍQUIZA</t>
  </si>
  <si>
    <t>15232</t>
  </si>
  <si>
    <t>SIRIA</t>
  </si>
  <si>
    <t>CHIRIGUANA</t>
  </si>
  <si>
    <t>20178</t>
  </si>
  <si>
    <t>SOMALIA</t>
  </si>
  <si>
    <t>GUTIERREZ</t>
  </si>
  <si>
    <t>CHISCAS</t>
  </si>
  <si>
    <t>15180</t>
  </si>
  <si>
    <t>SRI LANKA</t>
  </si>
  <si>
    <t>CHITA</t>
  </si>
  <si>
    <t>15183</t>
  </si>
  <si>
    <t>SUAZILANDIA</t>
  </si>
  <si>
    <t>CHITAGÁ</t>
  </si>
  <si>
    <t>54174</t>
  </si>
  <si>
    <t>SUDÁFRICA</t>
  </si>
  <si>
    <t>CHITARAQUE</t>
  </si>
  <si>
    <t>15185</t>
  </si>
  <si>
    <t>SUDÁN</t>
  </si>
  <si>
    <t>CHIVATÁ</t>
  </si>
  <si>
    <t>15187</t>
  </si>
  <si>
    <t>SUDÁN DEL SUR</t>
  </si>
  <si>
    <t>CHIVOR</t>
  </si>
  <si>
    <t>15236</t>
  </si>
  <si>
    <t>SUECIA</t>
  </si>
  <si>
    <t>CHOACHÍ</t>
  </si>
  <si>
    <t>25181</t>
  </si>
  <si>
    <t>SUIZA</t>
  </si>
  <si>
    <t>ALMEIDAS</t>
  </si>
  <si>
    <t>CHOCONTÁ</t>
  </si>
  <si>
    <t>25183</t>
  </si>
  <si>
    <t>SURINAM</t>
  </si>
  <si>
    <t>DEPRESION MOMPOSINA</t>
  </si>
  <si>
    <t>CICUCO</t>
  </si>
  <si>
    <t>13188</t>
  </si>
  <si>
    <t>TAILANDIA</t>
  </si>
  <si>
    <t>CIÉNAGA</t>
  </si>
  <si>
    <t>47189</t>
  </si>
  <si>
    <t>TAIWÁN</t>
  </si>
  <si>
    <t>CIÉNAGA DE ORO</t>
  </si>
  <si>
    <t>23189</t>
  </si>
  <si>
    <t>TANZANIA</t>
  </si>
  <si>
    <t>CIÉNEGA</t>
  </si>
  <si>
    <t>15189</t>
  </si>
  <si>
    <t>TAYIKISTÁN</t>
  </si>
  <si>
    <t>CIMITARRA</t>
  </si>
  <si>
    <t>68190</t>
  </si>
  <si>
    <t>TERRITORIO BRITÁNICO DEL OCÉANO ÍNDICO</t>
  </si>
  <si>
    <t>CIRCASIA</t>
  </si>
  <si>
    <t>63190</t>
  </si>
  <si>
    <t>TERRITORIOS AUSTRALES FRANCESES</t>
  </si>
  <si>
    <t>CISNEROS</t>
  </si>
  <si>
    <t>05190</t>
  </si>
  <si>
    <t>TIMOR-LESTE</t>
  </si>
  <si>
    <t>CIUDAD BOLÍVAR</t>
  </si>
  <si>
    <t>05101</t>
  </si>
  <si>
    <t>TOGO</t>
  </si>
  <si>
    <t>CLEMENCIA</t>
  </si>
  <si>
    <t>13222</t>
  </si>
  <si>
    <t>TOKELAU</t>
  </si>
  <si>
    <t>COCORNÁ</t>
  </si>
  <si>
    <t>05197</t>
  </si>
  <si>
    <t>TONGA</t>
  </si>
  <si>
    <t>COELLO</t>
  </si>
  <si>
    <t>73200</t>
  </si>
  <si>
    <t>TRINIDAD Y TOBAGO</t>
  </si>
  <si>
    <t>COGUA</t>
  </si>
  <si>
    <t>25200</t>
  </si>
  <si>
    <t>TÚNEZ</t>
  </si>
  <si>
    <t>41206</t>
  </si>
  <si>
    <t>TURKMENISTÁN</t>
  </si>
  <si>
    <t>COLON</t>
  </si>
  <si>
    <t>52203</t>
  </si>
  <si>
    <t>TURQUÍA</t>
  </si>
  <si>
    <t>PUTUMAYO</t>
  </si>
  <si>
    <t>COLÓN</t>
  </si>
  <si>
    <t>86219</t>
  </si>
  <si>
    <t>TUVALU</t>
  </si>
  <si>
    <t>COLOSO</t>
  </si>
  <si>
    <t>70204</t>
  </si>
  <si>
    <t>UCRANIA</t>
  </si>
  <si>
    <t>CÓMBITA</t>
  </si>
  <si>
    <t>15204</t>
  </si>
  <si>
    <t>UGANDA</t>
  </si>
  <si>
    <t>CONCEPCIÓN</t>
  </si>
  <si>
    <t>05206</t>
  </si>
  <si>
    <t>URUGUAY</t>
  </si>
  <si>
    <t>68207</t>
  </si>
  <si>
    <t>UZBEKISTÁN</t>
  </si>
  <si>
    <t>CONCORDIA</t>
  </si>
  <si>
    <t>05209</t>
  </si>
  <si>
    <t>VANUATU</t>
  </si>
  <si>
    <t>47205</t>
  </si>
  <si>
    <t>VENEZUELA</t>
  </si>
  <si>
    <t>CONDOTO</t>
  </si>
  <si>
    <t>27205</t>
  </si>
  <si>
    <t>VIETNAM</t>
  </si>
  <si>
    <t>CONFINES</t>
  </si>
  <si>
    <t>68209</t>
  </si>
  <si>
    <t>WALLIS Y FUTUNA</t>
  </si>
  <si>
    <t>CONSACA</t>
  </si>
  <si>
    <t>52207</t>
  </si>
  <si>
    <t>YEMEN</t>
  </si>
  <si>
    <t>CONTADERO</t>
  </si>
  <si>
    <t>52210</t>
  </si>
  <si>
    <t>YIBUTI</t>
  </si>
  <si>
    <t>CONTRATACIÓN</t>
  </si>
  <si>
    <t>68211</t>
  </si>
  <si>
    <t>ZAMBIA</t>
  </si>
  <si>
    <t>CONVENCIÓN</t>
  </si>
  <si>
    <t>54206</t>
  </si>
  <si>
    <t>ZIMBABWE</t>
  </si>
  <si>
    <t>COPACABANA</t>
  </si>
  <si>
    <t>05212</t>
  </si>
  <si>
    <t>COPER</t>
  </si>
  <si>
    <t>15212</t>
  </si>
  <si>
    <t>CÓRDOBA</t>
  </si>
  <si>
    <t>13212</t>
  </si>
  <si>
    <t>52215</t>
  </si>
  <si>
    <t>CORDILLERANOS</t>
  </si>
  <si>
    <t>CoRDOBA</t>
  </si>
  <si>
    <t>63212</t>
  </si>
  <si>
    <t>CORINTO</t>
  </si>
  <si>
    <t>19212</t>
  </si>
  <si>
    <t>COROMORO</t>
  </si>
  <si>
    <t>68217</t>
  </si>
  <si>
    <t>COROZAL</t>
  </si>
  <si>
    <t>70215</t>
  </si>
  <si>
    <t>CORRALES</t>
  </si>
  <si>
    <t>15215</t>
  </si>
  <si>
    <t>COTA</t>
  </si>
  <si>
    <t>25214</t>
  </si>
  <si>
    <t>COTORRA</t>
  </si>
  <si>
    <t>23300</t>
  </si>
  <si>
    <t>COVARACHÍA</t>
  </si>
  <si>
    <t>15218</t>
  </si>
  <si>
    <t>MORROSQUILLO</t>
  </si>
  <si>
    <t>COVEÑAS</t>
  </si>
  <si>
    <t>70221</t>
  </si>
  <si>
    <t>COYAIMA</t>
  </si>
  <si>
    <t>73217</t>
  </si>
  <si>
    <t>CRAVO NORTE</t>
  </si>
  <si>
    <t>81220</t>
  </si>
  <si>
    <t>CUASPUD</t>
  </si>
  <si>
    <t>52224</t>
  </si>
  <si>
    <t>CUBARÁ</t>
  </si>
  <si>
    <t>15223</t>
  </si>
  <si>
    <t>CUCAITA</t>
  </si>
  <si>
    <t>15224</t>
  </si>
  <si>
    <t>CUCUNUBÁ</t>
  </si>
  <si>
    <t>25224</t>
  </si>
  <si>
    <t>ORIENTAL</t>
  </si>
  <si>
    <t>CÚCUTA</t>
  </si>
  <si>
    <t>54001</t>
  </si>
  <si>
    <t>CUCUTILLA</t>
  </si>
  <si>
    <t>54223</t>
  </si>
  <si>
    <t>CUÍTIVA</t>
  </si>
  <si>
    <t>15226</t>
  </si>
  <si>
    <t>CUMARAL</t>
  </si>
  <si>
    <t>50226</t>
  </si>
  <si>
    <t>VICHADA</t>
  </si>
  <si>
    <t>CUMARIBO</t>
  </si>
  <si>
    <t>99773</t>
  </si>
  <si>
    <t>CUMBAL</t>
  </si>
  <si>
    <t>52227</t>
  </si>
  <si>
    <t>CUMBITARA</t>
  </si>
  <si>
    <t>52233</t>
  </si>
  <si>
    <t>CUNDAY</t>
  </si>
  <si>
    <t>73226</t>
  </si>
  <si>
    <t>CURITÍ</t>
  </si>
  <si>
    <t>68229</t>
  </si>
  <si>
    <t>CURRILLO</t>
  </si>
  <si>
    <t>18205</t>
  </si>
  <si>
    <t>CURUMANÍ</t>
  </si>
  <si>
    <t>20228</t>
  </si>
  <si>
    <t>DABEIBA</t>
  </si>
  <si>
    <t>05234</t>
  </si>
  <si>
    <t>DAGUA</t>
  </si>
  <si>
    <t>76233</t>
  </si>
  <si>
    <t>DIBULLA</t>
  </si>
  <si>
    <t>44090</t>
  </si>
  <si>
    <t>DISTRACCION</t>
  </si>
  <si>
    <t>44098</t>
  </si>
  <si>
    <t>DOLORES</t>
  </si>
  <si>
    <t>73236</t>
  </si>
  <si>
    <t>DON MATiAS</t>
  </si>
  <si>
    <t>05237</t>
  </si>
  <si>
    <t>UNO - VERTIENTE ORIENTAL</t>
  </si>
  <si>
    <t>DOSQUEBRADAS</t>
  </si>
  <si>
    <t>66170</t>
  </si>
  <si>
    <t>DUITAMA</t>
  </si>
  <si>
    <t>15238</t>
  </si>
  <si>
    <t>DURANIA</t>
  </si>
  <si>
    <t>54239</t>
  </si>
  <si>
    <t>EBÉJICO</t>
  </si>
  <si>
    <t>05240</t>
  </si>
  <si>
    <t>EL ÁGUILA</t>
  </si>
  <si>
    <t>76243</t>
  </si>
  <si>
    <t>EL BAGRE</t>
  </si>
  <si>
    <t>05250</t>
  </si>
  <si>
    <t>EL BANCO</t>
  </si>
  <si>
    <t>47245</t>
  </si>
  <si>
    <t>EL CAIRO</t>
  </si>
  <si>
    <t>76246</t>
  </si>
  <si>
    <t>EL CALVARIO</t>
  </si>
  <si>
    <t>50245</t>
  </si>
  <si>
    <t>EL CARMEN</t>
  </si>
  <si>
    <t>54245</t>
  </si>
  <si>
    <t>EL CARMEN DE ATRATO</t>
  </si>
  <si>
    <t>27245</t>
  </si>
  <si>
    <t>EL CARMEN DE CHUCURÍ</t>
  </si>
  <si>
    <t>68235</t>
  </si>
  <si>
    <t>ARIARI</t>
  </si>
  <si>
    <t>EL CASTILLO</t>
  </si>
  <si>
    <t>50251</t>
  </si>
  <si>
    <t>EL CERRITO</t>
  </si>
  <si>
    <t>76248</t>
  </si>
  <si>
    <t>EL CHARCO</t>
  </si>
  <si>
    <t>52250</t>
  </si>
  <si>
    <t>EL COCUY</t>
  </si>
  <si>
    <t>15244</t>
  </si>
  <si>
    <t>EL COLEGIO</t>
  </si>
  <si>
    <t>25245</t>
  </si>
  <si>
    <t>EL COPEY</t>
  </si>
  <si>
    <t>20238</t>
  </si>
  <si>
    <t>EL DONCELLO</t>
  </si>
  <si>
    <t>18247</t>
  </si>
  <si>
    <t>EL DORADO</t>
  </si>
  <si>
    <t>50270</t>
  </si>
  <si>
    <t>EL DOVIO</t>
  </si>
  <si>
    <t>76250</t>
  </si>
  <si>
    <t>AMAZONAS</t>
  </si>
  <si>
    <t>EL ENCANTO</t>
  </si>
  <si>
    <t>EL ESPINO</t>
  </si>
  <si>
    <t>15248</t>
  </si>
  <si>
    <t>EL GUACAMAYO</t>
  </si>
  <si>
    <t>68245</t>
  </si>
  <si>
    <t>EL GUAMO</t>
  </si>
  <si>
    <t>13248</t>
  </si>
  <si>
    <t>El Litoral del San Juan</t>
  </si>
  <si>
    <t>27250</t>
  </si>
  <si>
    <t>EL MOLINO</t>
  </si>
  <si>
    <t>44110</t>
  </si>
  <si>
    <t>EL PASO</t>
  </si>
  <si>
    <t>20250</t>
  </si>
  <si>
    <t>EL PAUJIL</t>
  </si>
  <si>
    <t>18256</t>
  </si>
  <si>
    <t>EL PEÑOL</t>
  </si>
  <si>
    <t>52254</t>
  </si>
  <si>
    <t>EL PEÑON</t>
  </si>
  <si>
    <t>13268</t>
  </si>
  <si>
    <t>RIO NEGRO</t>
  </si>
  <si>
    <t>EL PEÑÓN</t>
  </si>
  <si>
    <t>25258</t>
  </si>
  <si>
    <t>68250</t>
  </si>
  <si>
    <t>EL PIÑON</t>
  </si>
  <si>
    <t>47258</t>
  </si>
  <si>
    <t>EL PLAYÓN</t>
  </si>
  <si>
    <t>68255</t>
  </si>
  <si>
    <t>EL RETEN</t>
  </si>
  <si>
    <t>47268</t>
  </si>
  <si>
    <t>EL RETORNO</t>
  </si>
  <si>
    <t>95025</t>
  </si>
  <si>
    <t>EL ROBLE</t>
  </si>
  <si>
    <t>70233</t>
  </si>
  <si>
    <t>EL ROSAL</t>
  </si>
  <si>
    <t>25260</t>
  </si>
  <si>
    <t>EL ROSARIO</t>
  </si>
  <si>
    <t>52256</t>
  </si>
  <si>
    <t>El Tablon de Gomez</t>
  </si>
  <si>
    <t>52258</t>
  </si>
  <si>
    <t>EL TAMBO</t>
  </si>
  <si>
    <t>19256</t>
  </si>
  <si>
    <t>52260</t>
  </si>
  <si>
    <t>EL TARRA</t>
  </si>
  <si>
    <t>54250</t>
  </si>
  <si>
    <t>EL ZULIA</t>
  </si>
  <si>
    <t>54261</t>
  </si>
  <si>
    <t>ELÍAS</t>
  </si>
  <si>
    <t>41244</t>
  </si>
  <si>
    <t>ENCINO</t>
  </si>
  <si>
    <t>68264</t>
  </si>
  <si>
    <t>ENCISO</t>
  </si>
  <si>
    <t>68266</t>
  </si>
  <si>
    <t>ENTRERRIOS</t>
  </si>
  <si>
    <t>05264</t>
  </si>
  <si>
    <t>ENVIGADO</t>
  </si>
  <si>
    <t>05266</t>
  </si>
  <si>
    <t>ESPINAL</t>
  </si>
  <si>
    <t>73268</t>
  </si>
  <si>
    <t>FACATATIVÁ</t>
  </si>
  <si>
    <t>25269</t>
  </si>
  <si>
    <t>FALAN</t>
  </si>
  <si>
    <t>73270</t>
  </si>
  <si>
    <t>ALTO OCCIDENTE</t>
  </si>
  <si>
    <t>FILADELFIA</t>
  </si>
  <si>
    <t>17272</t>
  </si>
  <si>
    <t>FRIA</t>
  </si>
  <si>
    <t>FILANDIA</t>
  </si>
  <si>
    <t>63272</t>
  </si>
  <si>
    <t>FIRAVITOBA</t>
  </si>
  <si>
    <t>15272</t>
  </si>
  <si>
    <t>FLANDES</t>
  </si>
  <si>
    <t>73275</t>
  </si>
  <si>
    <t>FLORENCIA</t>
  </si>
  <si>
    <t>18001</t>
  </si>
  <si>
    <t>19290</t>
  </si>
  <si>
    <t>FLORESTA</t>
  </si>
  <si>
    <t>15276</t>
  </si>
  <si>
    <t>FLORIÁN</t>
  </si>
  <si>
    <t>68271</t>
  </si>
  <si>
    <t>FLORIDA</t>
  </si>
  <si>
    <t>76275</t>
  </si>
  <si>
    <t>FLORIDABLANCA</t>
  </si>
  <si>
    <t>68276</t>
  </si>
  <si>
    <t>FOMEQUE</t>
  </si>
  <si>
    <t>25279</t>
  </si>
  <si>
    <t>FONSECA</t>
  </si>
  <si>
    <t>44279</t>
  </si>
  <si>
    <t>FORTUL</t>
  </si>
  <si>
    <t>81300</t>
  </si>
  <si>
    <t>FOSCA</t>
  </si>
  <si>
    <t>25281</t>
  </si>
  <si>
    <t>FRANCISCO PIZARRO</t>
  </si>
  <si>
    <t>52520</t>
  </si>
  <si>
    <t>FREDONIA</t>
  </si>
  <si>
    <t>05282</t>
  </si>
  <si>
    <t>FRESNO</t>
  </si>
  <si>
    <t>73283</t>
  </si>
  <si>
    <t>FRONTINO</t>
  </si>
  <si>
    <t>05284</t>
  </si>
  <si>
    <t>FUENTE DE ORO</t>
  </si>
  <si>
    <t>50287</t>
  </si>
  <si>
    <t>FUNDACION</t>
  </si>
  <si>
    <t>47288</t>
  </si>
  <si>
    <t>FUNES</t>
  </si>
  <si>
    <t>52287</t>
  </si>
  <si>
    <t>FUNZA</t>
  </si>
  <si>
    <t>25286</t>
  </si>
  <si>
    <t>FÚQUENE</t>
  </si>
  <si>
    <t>25288</t>
  </si>
  <si>
    <t>FUSAGASUGÁ</t>
  </si>
  <si>
    <t>25290</t>
  </si>
  <si>
    <t>GUAVIO</t>
  </si>
  <si>
    <t>GACHALA</t>
  </si>
  <si>
    <t>25293</t>
  </si>
  <si>
    <t>GACHANCIPÁ</t>
  </si>
  <si>
    <t>25295</t>
  </si>
  <si>
    <t>GACHANTIVÁ</t>
  </si>
  <si>
    <t>15293</t>
  </si>
  <si>
    <t>GACHETA</t>
  </si>
  <si>
    <t>25297</t>
  </si>
  <si>
    <t>GALÁN</t>
  </si>
  <si>
    <t>68296</t>
  </si>
  <si>
    <t>GALAPA</t>
  </si>
  <si>
    <t>08296</t>
  </si>
  <si>
    <t>GALERAS</t>
  </si>
  <si>
    <t>70235</t>
  </si>
  <si>
    <t>GAMA</t>
  </si>
  <si>
    <t>25299</t>
  </si>
  <si>
    <t>GAMARRA</t>
  </si>
  <si>
    <t>20295</t>
  </si>
  <si>
    <t>GAMBITA</t>
  </si>
  <si>
    <t>68298</t>
  </si>
  <si>
    <t>GAMEZA</t>
  </si>
  <si>
    <t>15296</t>
  </si>
  <si>
    <t>GARAGOA</t>
  </si>
  <si>
    <t>15299</t>
  </si>
  <si>
    <t>GARZÓN</t>
  </si>
  <si>
    <t>41298</t>
  </si>
  <si>
    <t>GeNOVA</t>
  </si>
  <si>
    <t>63302</t>
  </si>
  <si>
    <t>GIGANTE</t>
  </si>
  <si>
    <t>41306</t>
  </si>
  <si>
    <t>GINEBRA</t>
  </si>
  <si>
    <t>76306</t>
  </si>
  <si>
    <t>GIRALDO</t>
  </si>
  <si>
    <t>05306</t>
  </si>
  <si>
    <t>GIRARDOT</t>
  </si>
  <si>
    <t>25307</t>
  </si>
  <si>
    <t>GIRARDOTA</t>
  </si>
  <si>
    <t>05308</t>
  </si>
  <si>
    <t>GIRÓN</t>
  </si>
  <si>
    <t>68307</t>
  </si>
  <si>
    <t>GÓMEZ PLATA</t>
  </si>
  <si>
    <t>05310</t>
  </si>
  <si>
    <t>GONZÁLEZ</t>
  </si>
  <si>
    <t>20310</t>
  </si>
  <si>
    <t>GRAMALOTE</t>
  </si>
  <si>
    <t>54313</t>
  </si>
  <si>
    <t>05313</t>
  </si>
  <si>
    <t>25312</t>
  </si>
  <si>
    <t>50313</t>
  </si>
  <si>
    <t>GUACA</t>
  </si>
  <si>
    <t>68318</t>
  </si>
  <si>
    <t>GUACAMAYAS</t>
  </si>
  <si>
    <t>15317</t>
  </si>
  <si>
    <t>GUACARÍ</t>
  </si>
  <si>
    <t>76318</t>
  </si>
  <si>
    <t>GUACHETÁ</t>
  </si>
  <si>
    <t>25317</t>
  </si>
  <si>
    <t>GUACHUCAL</t>
  </si>
  <si>
    <t>52317</t>
  </si>
  <si>
    <t>05315</t>
  </si>
  <si>
    <t>41319</t>
  </si>
  <si>
    <t>68320</t>
  </si>
  <si>
    <t>GUADUAS</t>
  </si>
  <si>
    <t>25320</t>
  </si>
  <si>
    <t>GUAITARILLA</t>
  </si>
  <si>
    <t>52320</t>
  </si>
  <si>
    <t>GUALMATAN</t>
  </si>
  <si>
    <t>52323</t>
  </si>
  <si>
    <t>GUAMAL</t>
  </si>
  <si>
    <t>47318</t>
  </si>
  <si>
    <t>50318</t>
  </si>
  <si>
    <t>GUAMO</t>
  </si>
  <si>
    <t>73319</t>
  </si>
  <si>
    <t>GUAPI</t>
  </si>
  <si>
    <t>19318</t>
  </si>
  <si>
    <t>GUAPOTÁ</t>
  </si>
  <si>
    <t>68322</t>
  </si>
  <si>
    <t>MOJANA</t>
  </si>
  <si>
    <t>GUARANDA</t>
  </si>
  <si>
    <t>70265</t>
  </si>
  <si>
    <t>GUARNE</t>
  </si>
  <si>
    <t>05318</t>
  </si>
  <si>
    <t>GUASCA</t>
  </si>
  <si>
    <t>25322</t>
  </si>
  <si>
    <t>GUATAPE</t>
  </si>
  <si>
    <t>05321</t>
  </si>
  <si>
    <t>GUATAQUÍ</t>
  </si>
  <si>
    <t>25324</t>
  </si>
  <si>
    <t>GUATAVITA</t>
  </si>
  <si>
    <t>25326</t>
  </si>
  <si>
    <t>GUATEQUE</t>
  </si>
  <si>
    <t>15322</t>
  </si>
  <si>
    <t>GUÁTICA</t>
  </si>
  <si>
    <t>66318</t>
  </si>
  <si>
    <t>GUAVATÁ</t>
  </si>
  <si>
    <t>68324</t>
  </si>
  <si>
    <t>GUAYABAL DE SIQUIMA</t>
  </si>
  <si>
    <t>25328</t>
  </si>
  <si>
    <t>GUAYABETAL</t>
  </si>
  <si>
    <t>25335</t>
  </si>
  <si>
    <t>GUAYATÁ</t>
  </si>
  <si>
    <t>15325</t>
  </si>
  <si>
    <t>GuEPSA</t>
  </si>
  <si>
    <t>68327</t>
  </si>
  <si>
    <t>GÜICÁN</t>
  </si>
  <si>
    <t>15332</t>
  </si>
  <si>
    <t>GUTIÉRREZ</t>
  </si>
  <si>
    <t>25339</t>
  </si>
  <si>
    <t>HACARÍ</t>
  </si>
  <si>
    <t>54344</t>
  </si>
  <si>
    <t>HATILLO DE LOBA</t>
  </si>
  <si>
    <t>13300</t>
  </si>
  <si>
    <t>HATO</t>
  </si>
  <si>
    <t>68344</t>
  </si>
  <si>
    <t>HATO COROZAL</t>
  </si>
  <si>
    <t>85125</t>
  </si>
  <si>
    <t>HATONUEVO</t>
  </si>
  <si>
    <t>44378</t>
  </si>
  <si>
    <t>HELICONIA</t>
  </si>
  <si>
    <t>05347</t>
  </si>
  <si>
    <t>HERRÁN</t>
  </si>
  <si>
    <t>54347</t>
  </si>
  <si>
    <t>HERVEO</t>
  </si>
  <si>
    <t>73347</t>
  </si>
  <si>
    <t>HISPANIA</t>
  </si>
  <si>
    <t>05353</t>
  </si>
  <si>
    <t>HOBO</t>
  </si>
  <si>
    <t>41349</t>
  </si>
  <si>
    <t>HONDA</t>
  </si>
  <si>
    <t>73349</t>
  </si>
  <si>
    <t>IBAGUe</t>
  </si>
  <si>
    <t>73001</t>
  </si>
  <si>
    <t>ICONONZO</t>
  </si>
  <si>
    <t>73352</t>
  </si>
  <si>
    <t>ILES</t>
  </si>
  <si>
    <t>52352</t>
  </si>
  <si>
    <t>IMUES</t>
  </si>
  <si>
    <t>52354</t>
  </si>
  <si>
    <t>INÍRIDA</t>
  </si>
  <si>
    <t>94001</t>
  </si>
  <si>
    <t>INZÁ</t>
  </si>
  <si>
    <t>19355</t>
  </si>
  <si>
    <t>IPIALES</t>
  </si>
  <si>
    <t>52356</t>
  </si>
  <si>
    <t>IQUIRA</t>
  </si>
  <si>
    <t>41357</t>
  </si>
  <si>
    <t>ISNOS</t>
  </si>
  <si>
    <t>41359</t>
  </si>
  <si>
    <t>ITAGUI</t>
  </si>
  <si>
    <t>05360</t>
  </si>
  <si>
    <t>ITSMINA</t>
  </si>
  <si>
    <t>27361</t>
  </si>
  <si>
    <t>ITUANGO</t>
  </si>
  <si>
    <t>05361</t>
  </si>
  <si>
    <t>IZA</t>
  </si>
  <si>
    <t>15362</t>
  </si>
  <si>
    <t>JAMBALO</t>
  </si>
  <si>
    <t>19364</t>
  </si>
  <si>
    <t>JAMUNDÍ</t>
  </si>
  <si>
    <t>76364</t>
  </si>
  <si>
    <t>JARDÍN</t>
  </si>
  <si>
    <t>05364</t>
  </si>
  <si>
    <t>JENESANO</t>
  </si>
  <si>
    <t>15367</t>
  </si>
  <si>
    <t>JERICÓ</t>
  </si>
  <si>
    <t>05368</t>
  </si>
  <si>
    <t>15368</t>
  </si>
  <si>
    <t>JERUSALÉN</t>
  </si>
  <si>
    <t>25368</t>
  </si>
  <si>
    <t>JESÚS MARÍA</t>
  </si>
  <si>
    <t>68368</t>
  </si>
  <si>
    <t>JORDÁN</t>
  </si>
  <si>
    <t>68370</t>
  </si>
  <si>
    <t>OCCIDENTAL</t>
  </si>
  <si>
    <t>JUAN DE ACOSTA</t>
  </si>
  <si>
    <t>08372</t>
  </si>
  <si>
    <t>JUNÍN</t>
  </si>
  <si>
    <t>25372</t>
  </si>
  <si>
    <t>JURADÓ</t>
  </si>
  <si>
    <t>27372</t>
  </si>
  <si>
    <t>LA APARTADA</t>
  </si>
  <si>
    <t>23350</t>
  </si>
  <si>
    <t>LA ARGENTINA</t>
  </si>
  <si>
    <t>41378</t>
  </si>
  <si>
    <t>LA BELLEZA</t>
  </si>
  <si>
    <t>68377</t>
  </si>
  <si>
    <t>LA CALERA</t>
  </si>
  <si>
    <t>25377</t>
  </si>
  <si>
    <t>LA CAPILLA</t>
  </si>
  <si>
    <t>15380</t>
  </si>
  <si>
    <t>LA CEJA</t>
  </si>
  <si>
    <t>05376</t>
  </si>
  <si>
    <t>LA CELIA</t>
  </si>
  <si>
    <t>66383</t>
  </si>
  <si>
    <t>LA CHORRERA</t>
  </si>
  <si>
    <t>91405</t>
  </si>
  <si>
    <t>LA CRUZ</t>
  </si>
  <si>
    <t>52378</t>
  </si>
  <si>
    <t>LA CUMBRE</t>
  </si>
  <si>
    <t>76377</t>
  </si>
  <si>
    <t>LA DORADA</t>
  </si>
  <si>
    <t>17380</t>
  </si>
  <si>
    <t>LA ESPERANZA</t>
  </si>
  <si>
    <t>54385</t>
  </si>
  <si>
    <t>LA ESTRELLA</t>
  </si>
  <si>
    <t>05380</t>
  </si>
  <si>
    <t>LA FLORIDA</t>
  </si>
  <si>
    <t>52381</t>
  </si>
  <si>
    <t>LA GLORIA</t>
  </si>
  <si>
    <t>20383</t>
  </si>
  <si>
    <t>LA GUADALUPE</t>
  </si>
  <si>
    <t>94885</t>
  </si>
  <si>
    <t>LA JAGUA DE IBIRICO</t>
  </si>
  <si>
    <t>20400</t>
  </si>
  <si>
    <t>LA JAGUA DEL PILAR</t>
  </si>
  <si>
    <t>44420</t>
  </si>
  <si>
    <t>LA LLANADA</t>
  </si>
  <si>
    <t>52385</t>
  </si>
  <si>
    <t>LA MACARENA</t>
  </si>
  <si>
    <t>50350</t>
  </si>
  <si>
    <t>LA MERCED</t>
  </si>
  <si>
    <t>17388</t>
  </si>
  <si>
    <t>LA MESA</t>
  </si>
  <si>
    <t>25386</t>
  </si>
  <si>
    <t>LA MONTAÑITA</t>
  </si>
  <si>
    <t>18410</t>
  </si>
  <si>
    <t>LA PALMA</t>
  </si>
  <si>
    <t>25394</t>
  </si>
  <si>
    <t>LA PAZ</t>
  </si>
  <si>
    <t>20621</t>
  </si>
  <si>
    <t>68397</t>
  </si>
  <si>
    <t>LA PEDRERA</t>
  </si>
  <si>
    <t>91407</t>
  </si>
  <si>
    <t>LA PEÑA</t>
  </si>
  <si>
    <t>25398</t>
  </si>
  <si>
    <t>LA PINTADA</t>
  </si>
  <si>
    <t>05390</t>
  </si>
  <si>
    <t>LA PLATA</t>
  </si>
  <si>
    <t>41396</t>
  </si>
  <si>
    <t>LA PLAYA</t>
  </si>
  <si>
    <t>54398</t>
  </si>
  <si>
    <t>LA PRIMAVERA</t>
  </si>
  <si>
    <t>99524</t>
  </si>
  <si>
    <t>LA SALINA</t>
  </si>
  <si>
    <t>85136</t>
  </si>
  <si>
    <t>LA SIERRA</t>
  </si>
  <si>
    <t>19392</t>
  </si>
  <si>
    <t>VALLE</t>
  </si>
  <si>
    <t>LA TEBAIDA</t>
  </si>
  <si>
    <t>63401</t>
  </si>
  <si>
    <t>LA TOLA</t>
  </si>
  <si>
    <t>52390</t>
  </si>
  <si>
    <t>LA UNIÓN</t>
  </si>
  <si>
    <t>05400</t>
  </si>
  <si>
    <t>LA UNION</t>
  </si>
  <si>
    <t>52399</t>
  </si>
  <si>
    <t>70400</t>
  </si>
  <si>
    <t>76400</t>
  </si>
  <si>
    <t>LA URIBE</t>
  </si>
  <si>
    <t>50370</t>
  </si>
  <si>
    <t>LA UVITA</t>
  </si>
  <si>
    <t>15403</t>
  </si>
  <si>
    <t>LA VEGA</t>
  </si>
  <si>
    <t>19397</t>
  </si>
  <si>
    <t>25402</t>
  </si>
  <si>
    <t>LA VICTORIA</t>
  </si>
  <si>
    <t>91430</t>
  </si>
  <si>
    <t>15401</t>
  </si>
  <si>
    <t>76403</t>
  </si>
  <si>
    <t>LA VIRGINIA</t>
  </si>
  <si>
    <t>66400</t>
  </si>
  <si>
    <t>LABATECA</t>
  </si>
  <si>
    <t>54377</t>
  </si>
  <si>
    <t>LA LIBERTAD</t>
  </si>
  <si>
    <t>LABRANZAGRANDE</t>
  </si>
  <si>
    <t>15377</t>
  </si>
  <si>
    <t>LANDÁZURI</t>
  </si>
  <si>
    <t>68385</t>
  </si>
  <si>
    <t>LEBRÍJA</t>
  </si>
  <si>
    <t>68406</t>
  </si>
  <si>
    <t>LEIVA</t>
  </si>
  <si>
    <t>52405</t>
  </si>
  <si>
    <t>LEJANÍAS</t>
  </si>
  <si>
    <t>50400</t>
  </si>
  <si>
    <t>LENGUAZAQUE</t>
  </si>
  <si>
    <t>25407</t>
  </si>
  <si>
    <t>LeRIDA</t>
  </si>
  <si>
    <t>73408</t>
  </si>
  <si>
    <t>LETICIA</t>
  </si>
  <si>
    <t>91001</t>
  </si>
  <si>
    <t>LiBANO</t>
  </si>
  <si>
    <t>73411</t>
  </si>
  <si>
    <t>LIBORINA</t>
  </si>
  <si>
    <t>05411</t>
  </si>
  <si>
    <t>LINARES</t>
  </si>
  <si>
    <t>52411</t>
  </si>
  <si>
    <t>LLORÓ</t>
  </si>
  <si>
    <t>27413</t>
  </si>
  <si>
    <t>LOPEZ</t>
  </si>
  <si>
    <t>19418</t>
  </si>
  <si>
    <t>LORICA</t>
  </si>
  <si>
    <t>23417</t>
  </si>
  <si>
    <t>LOS ANDES</t>
  </si>
  <si>
    <t>52418</t>
  </si>
  <si>
    <t>LOS CÓRDOBAS</t>
  </si>
  <si>
    <t>23419</t>
  </si>
  <si>
    <t>LOS PALMITOS</t>
  </si>
  <si>
    <t>70418</t>
  </si>
  <si>
    <t>LOS PATIOS</t>
  </si>
  <si>
    <t>54405</t>
  </si>
  <si>
    <t>LOS SANTOS</t>
  </si>
  <si>
    <t>68418</t>
  </si>
  <si>
    <t>LOURDES</t>
  </si>
  <si>
    <t>54418</t>
  </si>
  <si>
    <t>LURUACO</t>
  </si>
  <si>
    <t>08421</t>
  </si>
  <si>
    <t>MACANAL</t>
  </si>
  <si>
    <t>15425</t>
  </si>
  <si>
    <t>MACARAVITA</t>
  </si>
  <si>
    <t>68425</t>
  </si>
  <si>
    <t>MACEO</t>
  </si>
  <si>
    <t>05425</t>
  </si>
  <si>
    <t>MACHETA</t>
  </si>
  <si>
    <t>25426</t>
  </si>
  <si>
    <t>MADRID</t>
  </si>
  <si>
    <t>25430</t>
  </si>
  <si>
    <t>MAGANGUÉ</t>
  </si>
  <si>
    <t>13430</t>
  </si>
  <si>
    <t>Magui</t>
  </si>
  <si>
    <t>52427</t>
  </si>
  <si>
    <t>MAHATES</t>
  </si>
  <si>
    <t>13433</t>
  </si>
  <si>
    <t>MAICAO</t>
  </si>
  <si>
    <t>44430</t>
  </si>
  <si>
    <t>MAJAGUAL</t>
  </si>
  <si>
    <t>70429</t>
  </si>
  <si>
    <t>MÁLAGA</t>
  </si>
  <si>
    <t>68432</t>
  </si>
  <si>
    <t>MALAMBO</t>
  </si>
  <si>
    <t>08433</t>
  </si>
  <si>
    <t>MALLAMA</t>
  </si>
  <si>
    <t>52435</t>
  </si>
  <si>
    <t>MANATi</t>
  </si>
  <si>
    <t>08436</t>
  </si>
  <si>
    <t>MANAURE</t>
  </si>
  <si>
    <t>20443</t>
  </si>
  <si>
    <t>44560</t>
  </si>
  <si>
    <t>MANÍ</t>
  </si>
  <si>
    <t>85139</t>
  </si>
  <si>
    <t>MANIZALES</t>
  </si>
  <si>
    <t>17001</t>
  </si>
  <si>
    <t>MANTA</t>
  </si>
  <si>
    <t>25436</t>
  </si>
  <si>
    <t>ALTO ORIENTE</t>
  </si>
  <si>
    <t>MANZANARES</t>
  </si>
  <si>
    <t>17433</t>
  </si>
  <si>
    <t>MAPIRIPaN</t>
  </si>
  <si>
    <t>94663</t>
  </si>
  <si>
    <t>50325</t>
  </si>
  <si>
    <t>MARGARITA</t>
  </si>
  <si>
    <t>13440</t>
  </si>
  <si>
    <t>MARÍA LA BAJA</t>
  </si>
  <si>
    <t>13442</t>
  </si>
  <si>
    <t>MARINILLA</t>
  </si>
  <si>
    <t>05440</t>
  </si>
  <si>
    <t>MARIPÍ</t>
  </si>
  <si>
    <t>15442</t>
  </si>
  <si>
    <t>MARIQUITA</t>
  </si>
  <si>
    <t>73443</t>
  </si>
  <si>
    <t>MARMATO</t>
  </si>
  <si>
    <t>17442</t>
  </si>
  <si>
    <t>MARQUETALIA</t>
  </si>
  <si>
    <t>17444</t>
  </si>
  <si>
    <t>MARSELLA</t>
  </si>
  <si>
    <t>66440</t>
  </si>
  <si>
    <t>MARULANDA</t>
  </si>
  <si>
    <t>17446</t>
  </si>
  <si>
    <t>MATANZA</t>
  </si>
  <si>
    <t>68444</t>
  </si>
  <si>
    <t>MEDELLÍN</t>
  </si>
  <si>
    <t>05001</t>
  </si>
  <si>
    <t>MEDINA</t>
  </si>
  <si>
    <t>25438</t>
  </si>
  <si>
    <t>MEDIO ATRATO</t>
  </si>
  <si>
    <t>27425</t>
  </si>
  <si>
    <t>MEDIO BAUDÓ</t>
  </si>
  <si>
    <t>27430</t>
  </si>
  <si>
    <t>MEDIO SAN JUAN</t>
  </si>
  <si>
    <t>27450</t>
  </si>
  <si>
    <t>MELGAR</t>
  </si>
  <si>
    <t>73449</t>
  </si>
  <si>
    <t>MERCADERES</t>
  </si>
  <si>
    <t>19450</t>
  </si>
  <si>
    <t>MESETAS</t>
  </si>
  <si>
    <t>50330</t>
  </si>
  <si>
    <t>MILaN</t>
  </si>
  <si>
    <t>18460</t>
  </si>
  <si>
    <t>MIRAFLORES</t>
  </si>
  <si>
    <t>15455</t>
  </si>
  <si>
    <t>95200</t>
  </si>
  <si>
    <t>MIRANDA</t>
  </si>
  <si>
    <t>19455</t>
  </si>
  <si>
    <t>MIRITI - PARANÁ</t>
  </si>
  <si>
    <t>91460</t>
  </si>
  <si>
    <t>TRES - VERTIENTE DEL PACIFICO</t>
  </si>
  <si>
    <t>MISTRATÓ</t>
  </si>
  <si>
    <t>66456</t>
  </si>
  <si>
    <t>MITÚ</t>
  </si>
  <si>
    <t>97001</t>
  </si>
  <si>
    <t>MOCOA</t>
  </si>
  <si>
    <t>86001</t>
  </si>
  <si>
    <t>MOGOTES</t>
  </si>
  <si>
    <t>68464</t>
  </si>
  <si>
    <t>MOLAGAVITA</t>
  </si>
  <si>
    <t>68468</t>
  </si>
  <si>
    <t>MOMIL</t>
  </si>
  <si>
    <t>23464</t>
  </si>
  <si>
    <t>MOMPÓS</t>
  </si>
  <si>
    <t>13468</t>
  </si>
  <si>
    <t>MONGUA</t>
  </si>
  <si>
    <t>15464</t>
  </si>
  <si>
    <t>MONGUÍ</t>
  </si>
  <si>
    <t>15466</t>
  </si>
  <si>
    <t>MONIQUIRÁ</t>
  </si>
  <si>
    <t>15469</t>
  </si>
  <si>
    <t>MONTEBELLO</t>
  </si>
  <si>
    <t>05467</t>
  </si>
  <si>
    <t>MONTECRISTO</t>
  </si>
  <si>
    <t>13458</t>
  </si>
  <si>
    <t>MONTELÍBANO</t>
  </si>
  <si>
    <t>23466</t>
  </si>
  <si>
    <t>Montengro</t>
  </si>
  <si>
    <t>63470</t>
  </si>
  <si>
    <t>MONTERÍA</t>
  </si>
  <si>
    <t>23001</t>
  </si>
  <si>
    <t>MONTERREY</t>
  </si>
  <si>
    <t>85162</t>
  </si>
  <si>
    <t>MOÑITOS</t>
  </si>
  <si>
    <t>23500</t>
  </si>
  <si>
    <t>MORALES</t>
  </si>
  <si>
    <t>13473</t>
  </si>
  <si>
    <t>19473</t>
  </si>
  <si>
    <t>MORELIA</t>
  </si>
  <si>
    <t>18479</t>
  </si>
  <si>
    <t>MORICHAL</t>
  </si>
  <si>
    <t>94888</t>
  </si>
  <si>
    <t>MORROA</t>
  </si>
  <si>
    <t>70473</t>
  </si>
  <si>
    <t>MOSQUERA</t>
  </si>
  <si>
    <t>25473</t>
  </si>
  <si>
    <t>52473</t>
  </si>
  <si>
    <t>MOTAVITA</t>
  </si>
  <si>
    <t>15476</t>
  </si>
  <si>
    <t>MURILLO</t>
  </si>
  <si>
    <t>73461</t>
  </si>
  <si>
    <t>MURINDÓ</t>
  </si>
  <si>
    <t>05475</t>
  </si>
  <si>
    <t>MUTATA</t>
  </si>
  <si>
    <t>05480</t>
  </si>
  <si>
    <t>MUTISCUA</t>
  </si>
  <si>
    <t>54480</t>
  </si>
  <si>
    <t>MUZO</t>
  </si>
  <si>
    <t>15480</t>
  </si>
  <si>
    <t>05483</t>
  </si>
  <si>
    <t>25483</t>
  </si>
  <si>
    <t>52480</t>
  </si>
  <si>
    <t>NÁTAGA</t>
  </si>
  <si>
    <t>41483</t>
  </si>
  <si>
    <t>NATAGAIMA</t>
  </si>
  <si>
    <t>73483</t>
  </si>
  <si>
    <t>NECHÍ</t>
  </si>
  <si>
    <t>05495</t>
  </si>
  <si>
    <t>NECOCLÍ</t>
  </si>
  <si>
    <t>05490</t>
  </si>
  <si>
    <t>17486</t>
  </si>
  <si>
    <t>NEIVA</t>
  </si>
  <si>
    <t>41001</t>
  </si>
  <si>
    <t>NEMOCoN</t>
  </si>
  <si>
    <t>25486</t>
  </si>
  <si>
    <t>NILO</t>
  </si>
  <si>
    <t>25488</t>
  </si>
  <si>
    <t>NIMAIMA</t>
  </si>
  <si>
    <t>25489</t>
  </si>
  <si>
    <t>NOBSA</t>
  </si>
  <si>
    <t>15491</t>
  </si>
  <si>
    <t>NOCAIMA</t>
  </si>
  <si>
    <t>25491</t>
  </si>
  <si>
    <t>NORCASIA</t>
  </si>
  <si>
    <t>17495</t>
  </si>
  <si>
    <t>NÓVITA</t>
  </si>
  <si>
    <t>27491</t>
  </si>
  <si>
    <t>NUEVA GRANADA</t>
  </si>
  <si>
    <t>47460</t>
  </si>
  <si>
    <t>NUEVO COLÓN</t>
  </si>
  <si>
    <t>15494</t>
  </si>
  <si>
    <t>NUNCHÍA</t>
  </si>
  <si>
    <t>85225</t>
  </si>
  <si>
    <t>NUQUÍ</t>
  </si>
  <si>
    <t>27495</t>
  </si>
  <si>
    <t>OBANDO</t>
  </si>
  <si>
    <t>76497</t>
  </si>
  <si>
    <t>OCAMONTE</t>
  </si>
  <si>
    <t>68498</t>
  </si>
  <si>
    <t>OCAÑA</t>
  </si>
  <si>
    <t>54498</t>
  </si>
  <si>
    <t>OIBA</t>
  </si>
  <si>
    <t>68500</t>
  </si>
  <si>
    <t>OICATÁ</t>
  </si>
  <si>
    <t>15500</t>
  </si>
  <si>
    <t>OLAYA</t>
  </si>
  <si>
    <t>05501</t>
  </si>
  <si>
    <t>OLAYA HERRERA</t>
  </si>
  <si>
    <t>52490</t>
  </si>
  <si>
    <t>ONZAGA</t>
  </si>
  <si>
    <t>68502</t>
  </si>
  <si>
    <t>OPORAPA</t>
  </si>
  <si>
    <t>41503</t>
  </si>
  <si>
    <t>ORITO</t>
  </si>
  <si>
    <t>86320</t>
  </si>
  <si>
    <t>OROCUÉ</t>
  </si>
  <si>
    <t>85230</t>
  </si>
  <si>
    <t>ORTEGA</t>
  </si>
  <si>
    <t>73504</t>
  </si>
  <si>
    <t>OSPINA</t>
  </si>
  <si>
    <t>52506</t>
  </si>
  <si>
    <t>OTANCHE</t>
  </si>
  <si>
    <t>15507</t>
  </si>
  <si>
    <t>OVEJAS</t>
  </si>
  <si>
    <t>70508</t>
  </si>
  <si>
    <t>PACHAVITA</t>
  </si>
  <si>
    <t>15511</t>
  </si>
  <si>
    <t>PACHO</t>
  </si>
  <si>
    <t>25513</t>
  </si>
  <si>
    <t>PACOA</t>
  </si>
  <si>
    <t>97511</t>
  </si>
  <si>
    <t>PÁCORA</t>
  </si>
  <si>
    <t>17513</t>
  </si>
  <si>
    <t>PADILLA</t>
  </si>
  <si>
    <t>19513</t>
  </si>
  <si>
    <t>PÁEZ</t>
  </si>
  <si>
    <t>15514</t>
  </si>
  <si>
    <t>PAEZ</t>
  </si>
  <si>
    <t>19517</t>
  </si>
  <si>
    <t>PAICOL</t>
  </si>
  <si>
    <t>41518</t>
  </si>
  <si>
    <t>PAILITAS</t>
  </si>
  <si>
    <t>20517</t>
  </si>
  <si>
    <t>PAIME</t>
  </si>
  <si>
    <t>25518</t>
  </si>
  <si>
    <t>PAIPA</t>
  </si>
  <si>
    <t>15516</t>
  </si>
  <si>
    <t>PAJARITO</t>
  </si>
  <si>
    <t>15518</t>
  </si>
  <si>
    <t>PALERMO</t>
  </si>
  <si>
    <t>41524</t>
  </si>
  <si>
    <t>17524</t>
  </si>
  <si>
    <t>41530</t>
  </si>
  <si>
    <t>PALMAR</t>
  </si>
  <si>
    <t>68522</t>
  </si>
  <si>
    <t>PALMAR DE VARELA</t>
  </si>
  <si>
    <t>08520</t>
  </si>
  <si>
    <t>PALMAS DEL SOCORRO</t>
  </si>
  <si>
    <t>68524</t>
  </si>
  <si>
    <t>PALMIRA</t>
  </si>
  <si>
    <t>76520</t>
  </si>
  <si>
    <t>PALMITO</t>
  </si>
  <si>
    <t>70523</t>
  </si>
  <si>
    <t>PALOCABILDO</t>
  </si>
  <si>
    <t>73520</t>
  </si>
  <si>
    <t>PAMPLONA</t>
  </si>
  <si>
    <t>54518</t>
  </si>
  <si>
    <t>PAMPLONITA</t>
  </si>
  <si>
    <t>54520</t>
  </si>
  <si>
    <t>PANA PANA</t>
  </si>
  <si>
    <t>94887</t>
  </si>
  <si>
    <t>PANDI</t>
  </si>
  <si>
    <t>25524</t>
  </si>
  <si>
    <t>PANQUEBA</t>
  </si>
  <si>
    <t>15522</t>
  </si>
  <si>
    <t>PAPUNAHUA</t>
  </si>
  <si>
    <t>97777</t>
  </si>
  <si>
    <t>PÁRAMO</t>
  </si>
  <si>
    <t>68533</t>
  </si>
  <si>
    <t>PARATEBUENO</t>
  </si>
  <si>
    <t>25530</t>
  </si>
  <si>
    <t>PASCA</t>
  </si>
  <si>
    <t>25535</t>
  </si>
  <si>
    <t>PASTO</t>
  </si>
  <si>
    <t>52001</t>
  </si>
  <si>
    <t>PATIA</t>
  </si>
  <si>
    <t>19532</t>
  </si>
  <si>
    <t>PAUNA</t>
  </si>
  <si>
    <t>15531</t>
  </si>
  <si>
    <t>PAYA</t>
  </si>
  <si>
    <t>15533</t>
  </si>
  <si>
    <t>PAZ DE ARIPORO</t>
  </si>
  <si>
    <t>85250</t>
  </si>
  <si>
    <t>PAZ DE RÍO</t>
  </si>
  <si>
    <t>15537</t>
  </si>
  <si>
    <t>PEDRAZA</t>
  </si>
  <si>
    <t>47541</t>
  </si>
  <si>
    <t>PELAYA</t>
  </si>
  <si>
    <t>20550</t>
  </si>
  <si>
    <t>PENSILVANIA</t>
  </si>
  <si>
    <t>17541</t>
  </si>
  <si>
    <t>PEÑOL</t>
  </si>
  <si>
    <t>05541</t>
  </si>
  <si>
    <t>PEQUE</t>
  </si>
  <si>
    <t>05543</t>
  </si>
  <si>
    <t>PEREIRA</t>
  </si>
  <si>
    <t>66001</t>
  </si>
  <si>
    <t>PESCA</t>
  </si>
  <si>
    <t>15542</t>
  </si>
  <si>
    <t>PIAMONTE</t>
  </si>
  <si>
    <t>19533</t>
  </si>
  <si>
    <t>PIEDECUESTA</t>
  </si>
  <si>
    <t>68547</t>
  </si>
  <si>
    <t>PIEDRAS</t>
  </si>
  <si>
    <t>73547</t>
  </si>
  <si>
    <t>PIENDAMO</t>
  </si>
  <si>
    <t>19548</t>
  </si>
  <si>
    <t>PIJAO</t>
  </si>
  <si>
    <t>63548</t>
  </si>
  <si>
    <t>PIJIÑO DEL CARMEN</t>
  </si>
  <si>
    <t>47545</t>
  </si>
  <si>
    <t>PINCHOTE</t>
  </si>
  <si>
    <t>68549</t>
  </si>
  <si>
    <t>PINILLOS</t>
  </si>
  <si>
    <t>13549</t>
  </si>
  <si>
    <t>PIOJÓ</t>
  </si>
  <si>
    <t>08549</t>
  </si>
  <si>
    <t>PISBA</t>
  </si>
  <si>
    <t>15550</t>
  </si>
  <si>
    <t>PITAL</t>
  </si>
  <si>
    <t>41548</t>
  </si>
  <si>
    <t>PITALITO</t>
  </si>
  <si>
    <t>41551</t>
  </si>
  <si>
    <t>PIVIJAY</t>
  </si>
  <si>
    <t>47551</t>
  </si>
  <si>
    <t>PLANADAS</t>
  </si>
  <si>
    <t>73555</t>
  </si>
  <si>
    <t>PLANETA RICA</t>
  </si>
  <si>
    <t>23555</t>
  </si>
  <si>
    <t>PLATO</t>
  </si>
  <si>
    <t>47555</t>
  </si>
  <si>
    <t>POLICARPA</t>
  </si>
  <si>
    <t>52540</t>
  </si>
  <si>
    <t>POLONUEVO</t>
  </si>
  <si>
    <t>08558</t>
  </si>
  <si>
    <t>PONEDERA</t>
  </si>
  <si>
    <t>08560</t>
  </si>
  <si>
    <t>POPAYÁN</t>
  </si>
  <si>
    <t>19001</t>
  </si>
  <si>
    <t>PORE</t>
  </si>
  <si>
    <t>85263</t>
  </si>
  <si>
    <t>POTOSÍ</t>
  </si>
  <si>
    <t>52560</t>
  </si>
  <si>
    <t>PRADERA</t>
  </si>
  <si>
    <t>76563</t>
  </si>
  <si>
    <t>PRADO</t>
  </si>
  <si>
    <t>73563</t>
  </si>
  <si>
    <t>PROVIDENCIA</t>
  </si>
  <si>
    <t>52565</t>
  </si>
  <si>
    <t>ARCHIPIELAGO DE SAN ANDRES</t>
  </si>
  <si>
    <t>PROVIDENCIA Y SANTA CATALINA</t>
  </si>
  <si>
    <t>88564</t>
  </si>
  <si>
    <t>PUEBLO BELLO</t>
  </si>
  <si>
    <t>20570</t>
  </si>
  <si>
    <t>PUEBLO NUEVO</t>
  </si>
  <si>
    <t>23570</t>
  </si>
  <si>
    <t>PUEBLO RICO</t>
  </si>
  <si>
    <t>66572</t>
  </si>
  <si>
    <t>PUEBLO VIEJO</t>
  </si>
  <si>
    <t>47570</t>
  </si>
  <si>
    <t>PUEBLORRICO</t>
  </si>
  <si>
    <t>05576</t>
  </si>
  <si>
    <t>PUENTE NACIONAL</t>
  </si>
  <si>
    <t>68572</t>
  </si>
  <si>
    <t>PUERRES</t>
  </si>
  <si>
    <t>52573</t>
  </si>
  <si>
    <t>PUERTO ALEGRIA</t>
  </si>
  <si>
    <t>91530</t>
  </si>
  <si>
    <t>PUERTO ARICA</t>
  </si>
  <si>
    <t>91536</t>
  </si>
  <si>
    <t>PUERTO ASIS</t>
  </si>
  <si>
    <t>86568</t>
  </si>
  <si>
    <t>PUERTO BERRiO</t>
  </si>
  <si>
    <t>05579</t>
  </si>
  <si>
    <t>PUERTO BOYACa</t>
  </si>
  <si>
    <t>15572</t>
  </si>
  <si>
    <t>PUERTO CAICEDO</t>
  </si>
  <si>
    <t>86569</t>
  </si>
  <si>
    <t>PUERTO CARREÑO</t>
  </si>
  <si>
    <t>99001</t>
  </si>
  <si>
    <t>PUERTO COLOMBIA</t>
  </si>
  <si>
    <t>08573</t>
  </si>
  <si>
    <t>94884</t>
  </si>
  <si>
    <t>PUERTO CONCORDIA</t>
  </si>
  <si>
    <t>50450</t>
  </si>
  <si>
    <t>PUERTO ESCONDIDO</t>
  </si>
  <si>
    <t>23574</t>
  </si>
  <si>
    <t>PUERTO GAITÁN</t>
  </si>
  <si>
    <t>50568</t>
  </si>
  <si>
    <t>PUERTO GUZMAN</t>
  </si>
  <si>
    <t>86571</t>
  </si>
  <si>
    <t>PUERTO LEGUIZAMO</t>
  </si>
  <si>
    <t>86573</t>
  </si>
  <si>
    <t>PUERTO LIBERTADOR</t>
  </si>
  <si>
    <t>23580</t>
  </si>
  <si>
    <t>PUERTO LLERAS</t>
  </si>
  <si>
    <t>50577</t>
  </si>
  <si>
    <t>PUERTO LoPEZ</t>
  </si>
  <si>
    <t>50573</t>
  </si>
  <si>
    <t>PUERTO NARE</t>
  </si>
  <si>
    <t>05585</t>
  </si>
  <si>
    <t>PUERTO NARIÑO</t>
  </si>
  <si>
    <t>91540</t>
  </si>
  <si>
    <t>PUERTO PARRA</t>
  </si>
  <si>
    <t>68573</t>
  </si>
  <si>
    <t>18592</t>
  </si>
  <si>
    <t>50590</t>
  </si>
  <si>
    <t>PUERTO RONDÓN</t>
  </si>
  <si>
    <t>81591</t>
  </si>
  <si>
    <t>PUERTO SALGAR</t>
  </si>
  <si>
    <t>25572</t>
  </si>
  <si>
    <t>PUERTO SANTANDER</t>
  </si>
  <si>
    <t>91669</t>
  </si>
  <si>
    <t>54553</t>
  </si>
  <si>
    <t>PUERTO TEJADA</t>
  </si>
  <si>
    <t>19573</t>
  </si>
  <si>
    <t>PUERTO TRIUNFO</t>
  </si>
  <si>
    <t>05591</t>
  </si>
  <si>
    <t>PUERTO WILCHES</t>
  </si>
  <si>
    <t>68575</t>
  </si>
  <si>
    <t>PULI</t>
  </si>
  <si>
    <t>25580</t>
  </si>
  <si>
    <t>PUPIALES</t>
  </si>
  <si>
    <t>52585</t>
  </si>
  <si>
    <t>PURACE</t>
  </si>
  <si>
    <t>19585</t>
  </si>
  <si>
    <t>PURIFICACIÓN</t>
  </si>
  <si>
    <t>73585</t>
  </si>
  <si>
    <t>PURÍSIMA</t>
  </si>
  <si>
    <t>23586</t>
  </si>
  <si>
    <t>QUEBRADANEGRA</t>
  </si>
  <si>
    <t>25592</t>
  </si>
  <si>
    <t>QUETAME</t>
  </si>
  <si>
    <t>25594</t>
  </si>
  <si>
    <t>QUIBDÓ</t>
  </si>
  <si>
    <t>27001</t>
  </si>
  <si>
    <t>QUIMBAYA</t>
  </si>
  <si>
    <t>63594</t>
  </si>
  <si>
    <t>QUINCHiA</t>
  </si>
  <si>
    <t>66594</t>
  </si>
  <si>
    <t>QUÍPAMA</t>
  </si>
  <si>
    <t>15580</t>
  </si>
  <si>
    <t>QUIPILE</t>
  </si>
  <si>
    <t>25596</t>
  </si>
  <si>
    <t>RAGONVALIA</t>
  </si>
  <si>
    <t>54599</t>
  </si>
  <si>
    <t>RAMIRIQUÍ</t>
  </si>
  <si>
    <t>15599</t>
  </si>
  <si>
    <t>RÁQUIRA</t>
  </si>
  <si>
    <t>15600</t>
  </si>
  <si>
    <t>RECETOR</t>
  </si>
  <si>
    <t>85279</t>
  </si>
  <si>
    <t>REGIDOR</t>
  </si>
  <si>
    <t>13580</t>
  </si>
  <si>
    <t>REMEDIOS</t>
  </si>
  <si>
    <t>05604</t>
  </si>
  <si>
    <t>REMOLINO</t>
  </si>
  <si>
    <t>47605</t>
  </si>
  <si>
    <t>REPELON</t>
  </si>
  <si>
    <t>08606</t>
  </si>
  <si>
    <t>RESTREPO</t>
  </si>
  <si>
    <t>50606</t>
  </si>
  <si>
    <t>76606</t>
  </si>
  <si>
    <t>RETIRO</t>
  </si>
  <si>
    <t>05607</t>
  </si>
  <si>
    <t>25612</t>
  </si>
  <si>
    <t>52612</t>
  </si>
  <si>
    <t>RÍO DE ORO</t>
  </si>
  <si>
    <t>20614</t>
  </si>
  <si>
    <t>RÍO FRÍO</t>
  </si>
  <si>
    <t>27580</t>
  </si>
  <si>
    <t>RIO QUITO</t>
  </si>
  <si>
    <t>27600</t>
  </si>
  <si>
    <t>RÍO VIEJO</t>
  </si>
  <si>
    <t>13600</t>
  </si>
  <si>
    <t>RIOBLANCO</t>
  </si>
  <si>
    <t>73616</t>
  </si>
  <si>
    <t>RIOFRIO</t>
  </si>
  <si>
    <t>76616</t>
  </si>
  <si>
    <t>RIOHACHA</t>
  </si>
  <si>
    <t>44001</t>
  </si>
  <si>
    <t>RIONEGRO</t>
  </si>
  <si>
    <t>05615</t>
  </si>
  <si>
    <t>68615</t>
  </si>
  <si>
    <t>RIOSUCIO</t>
  </si>
  <si>
    <t>17614</t>
  </si>
  <si>
    <t>27615</t>
  </si>
  <si>
    <t>17616</t>
  </si>
  <si>
    <t>RIVERA</t>
  </si>
  <si>
    <t>41615</t>
  </si>
  <si>
    <t>ROBERTO PAYAN</t>
  </si>
  <si>
    <t>52621</t>
  </si>
  <si>
    <t>ROLDANILLO</t>
  </si>
  <si>
    <t>76622</t>
  </si>
  <si>
    <t>RONCESVALLES</t>
  </si>
  <si>
    <t>73622</t>
  </si>
  <si>
    <t>RONDÓN</t>
  </si>
  <si>
    <t>15621</t>
  </si>
  <si>
    <t>ROSAS</t>
  </si>
  <si>
    <t>19622</t>
  </si>
  <si>
    <t>ROVIRA</t>
  </si>
  <si>
    <t>73624</t>
  </si>
  <si>
    <t>SABANA DE TORRES</t>
  </si>
  <si>
    <t>68655</t>
  </si>
  <si>
    <t>Sabanagrande</t>
  </si>
  <si>
    <t>08634</t>
  </si>
  <si>
    <t>SABANALARGA</t>
  </si>
  <si>
    <t>05628</t>
  </si>
  <si>
    <t>08638</t>
  </si>
  <si>
    <t>85300</t>
  </si>
  <si>
    <t>SABANAS DE SAN ANGEL</t>
  </si>
  <si>
    <t>47660</t>
  </si>
  <si>
    <t>SABANETA</t>
  </si>
  <si>
    <t>05631</t>
  </si>
  <si>
    <t>SABOYÁ</t>
  </si>
  <si>
    <t>15632</t>
  </si>
  <si>
    <t>SÁCAMA</t>
  </si>
  <si>
    <t>85315</t>
  </si>
  <si>
    <t>SÁCHICA</t>
  </si>
  <si>
    <t>15638</t>
  </si>
  <si>
    <t>SAHAGÚN</t>
  </si>
  <si>
    <t>23660</t>
  </si>
  <si>
    <t>SALADOBLANCO</t>
  </si>
  <si>
    <t>41660</t>
  </si>
  <si>
    <t>SALAMINA</t>
  </si>
  <si>
    <t>17653</t>
  </si>
  <si>
    <t>47675</t>
  </si>
  <si>
    <t>SALAZAR</t>
  </si>
  <si>
    <t>54660</t>
  </si>
  <si>
    <t>SALDAÑA</t>
  </si>
  <si>
    <t>73671</t>
  </si>
  <si>
    <t>SALENTO</t>
  </si>
  <si>
    <t>63690</t>
  </si>
  <si>
    <t>SALGAR</t>
  </si>
  <si>
    <t>05642</t>
  </si>
  <si>
    <t>SAMACÁ</t>
  </si>
  <si>
    <t>15646</t>
  </si>
  <si>
    <t>SAMANÁ</t>
  </si>
  <si>
    <t>17662</t>
  </si>
  <si>
    <t>SAMANIEGO</t>
  </si>
  <si>
    <t>52678</t>
  </si>
  <si>
    <t>SAMPUÉS</t>
  </si>
  <si>
    <t>70670</t>
  </si>
  <si>
    <t>SAN AGUSTÍN</t>
  </si>
  <si>
    <t>41668</t>
  </si>
  <si>
    <t>SAN ALBERTO</t>
  </si>
  <si>
    <t>20710</t>
  </si>
  <si>
    <t>SAN ANDRÉS</t>
  </si>
  <si>
    <t>05647</t>
  </si>
  <si>
    <t>SAN ANDRES</t>
  </si>
  <si>
    <t>88001</t>
  </si>
  <si>
    <t>68669</t>
  </si>
  <si>
    <t>SAN ANDRÉS SOTAVENTO</t>
  </si>
  <si>
    <t>23670</t>
  </si>
  <si>
    <t>SAN ANTERO</t>
  </si>
  <si>
    <t>23672</t>
  </si>
  <si>
    <t>SAN ANTONIO</t>
  </si>
  <si>
    <t>73675</t>
  </si>
  <si>
    <t>SAN ANTONIO DE TEQUENDAMA</t>
  </si>
  <si>
    <t>25645</t>
  </si>
  <si>
    <t>SAN BENITO</t>
  </si>
  <si>
    <t>68673</t>
  </si>
  <si>
    <t>SAN BENITO ABAD</t>
  </si>
  <si>
    <t>70678</t>
  </si>
  <si>
    <t>SAN BERNARDO</t>
  </si>
  <si>
    <t>25649</t>
  </si>
  <si>
    <t>52685</t>
  </si>
  <si>
    <t>SAN BERNARDO DEL VIENTO</t>
  </si>
  <si>
    <t>23675</t>
  </si>
  <si>
    <t>SAN CALIXTO</t>
  </si>
  <si>
    <t>54670</t>
  </si>
  <si>
    <t>SAN CARLOS</t>
  </si>
  <si>
    <t>05649</t>
  </si>
  <si>
    <t>23678</t>
  </si>
  <si>
    <t>SAN CARLOS GUAROA</t>
  </si>
  <si>
    <t>50680</t>
  </si>
  <si>
    <t>SAN CAYETANO</t>
  </si>
  <si>
    <t>25653</t>
  </si>
  <si>
    <t>54673</t>
  </si>
  <si>
    <t>SAN CRISTOBAL</t>
  </si>
  <si>
    <t>13620</t>
  </si>
  <si>
    <t>SAN DIEGO</t>
  </si>
  <si>
    <t>20750</t>
  </si>
  <si>
    <t>SAN EDUARDO</t>
  </si>
  <si>
    <t>15660</t>
  </si>
  <si>
    <t>SAN ESTANISLAO</t>
  </si>
  <si>
    <t>13647</t>
  </si>
  <si>
    <t>SAN FELIPE</t>
  </si>
  <si>
    <t>94883</t>
  </si>
  <si>
    <t>SAN FERNANDO</t>
  </si>
  <si>
    <t>13650</t>
  </si>
  <si>
    <t>SAN FRANCISCO</t>
  </si>
  <si>
    <t>05652</t>
  </si>
  <si>
    <t>25658</t>
  </si>
  <si>
    <t>86755</t>
  </si>
  <si>
    <t>SAN GIL</t>
  </si>
  <si>
    <t>68679</t>
  </si>
  <si>
    <t>SAN JACINTO</t>
  </si>
  <si>
    <t>13654</t>
  </si>
  <si>
    <t>SAN JACINTO DEL CAUCA</t>
  </si>
  <si>
    <t>13655</t>
  </si>
  <si>
    <t>SAN JERÓNIMO</t>
  </si>
  <si>
    <t>05656</t>
  </si>
  <si>
    <t>SAN JOAQUÍN</t>
  </si>
  <si>
    <t>68682</t>
  </si>
  <si>
    <t>SAN JOSÉ</t>
  </si>
  <si>
    <t>17665</t>
  </si>
  <si>
    <t>SAN JOSÉ DE LA MONTAÑA</t>
  </si>
  <si>
    <t>05658</t>
  </si>
  <si>
    <t>SAN JOSÉ DE MIRANDA</t>
  </si>
  <si>
    <t>68684</t>
  </si>
  <si>
    <t>SAN JOSÉ DE PARE</t>
  </si>
  <si>
    <t>15664</t>
  </si>
  <si>
    <t>SAN JOSE DEL FRAGUA</t>
  </si>
  <si>
    <t>18610</t>
  </si>
  <si>
    <t>SAN JOSÉ DEL GUAVIARE</t>
  </si>
  <si>
    <t>95001</t>
  </si>
  <si>
    <t>SAN JOSÉ DEL PALMAR</t>
  </si>
  <si>
    <t>27660</t>
  </si>
  <si>
    <t>SAN JUAN BETULIA</t>
  </si>
  <si>
    <t>70702</t>
  </si>
  <si>
    <t>SAN JUAN DE ARAMA</t>
  </si>
  <si>
    <t>50683</t>
  </si>
  <si>
    <t>SAN JUAN DE RÍO SECO</t>
  </si>
  <si>
    <t>25662</t>
  </si>
  <si>
    <t>SAN JUAN DE URABA</t>
  </si>
  <si>
    <t>05659</t>
  </si>
  <si>
    <t>SAN JUAN DEL CESAR</t>
  </si>
  <si>
    <t>44650</t>
  </si>
  <si>
    <t>SAN JUAN NEPOMUCENO</t>
  </si>
  <si>
    <t>13657</t>
  </si>
  <si>
    <t>SAN JUANITO</t>
  </si>
  <si>
    <t>50686</t>
  </si>
  <si>
    <t>SAN LORENZO</t>
  </si>
  <si>
    <t>52687</t>
  </si>
  <si>
    <t>SAN LUIS</t>
  </si>
  <si>
    <t>05660</t>
  </si>
  <si>
    <t>73678</t>
  </si>
  <si>
    <t>SAN LUIS DE CUBARRAL</t>
  </si>
  <si>
    <t>50223</t>
  </si>
  <si>
    <t>SAN LUIS DE GACENO</t>
  </si>
  <si>
    <t>15667</t>
  </si>
  <si>
    <t>SAN LUIS DE PALENQUE</t>
  </si>
  <si>
    <t>85325</t>
  </si>
  <si>
    <t>SAN MARCOS</t>
  </si>
  <si>
    <t>70708</t>
  </si>
  <si>
    <t>SAN MARTÍN</t>
  </si>
  <si>
    <t>20770</t>
  </si>
  <si>
    <t>50689</t>
  </si>
  <si>
    <t>SAN MARTIN DE LOBA</t>
  </si>
  <si>
    <t>13667</t>
  </si>
  <si>
    <t>SAN MATEO</t>
  </si>
  <si>
    <t>15673</t>
  </si>
  <si>
    <t>SAN MIGUEL</t>
  </si>
  <si>
    <t>86757</t>
  </si>
  <si>
    <t>68686</t>
  </si>
  <si>
    <t>SAN MIGUEL DE SEMA</t>
  </si>
  <si>
    <t>15676</t>
  </si>
  <si>
    <t>SAN ONOFRE</t>
  </si>
  <si>
    <t>70713</t>
  </si>
  <si>
    <t>SAN PABLO</t>
  </si>
  <si>
    <t>13670</t>
  </si>
  <si>
    <t>52693</t>
  </si>
  <si>
    <t>SAN PABLO BORBUR</t>
  </si>
  <si>
    <t>15681</t>
  </si>
  <si>
    <t>SAN PEDRO</t>
  </si>
  <si>
    <t>05664</t>
  </si>
  <si>
    <t>70717</t>
  </si>
  <si>
    <t>76670</t>
  </si>
  <si>
    <t>SAN PEDRO DE CARTAGO</t>
  </si>
  <si>
    <t>52694</t>
  </si>
  <si>
    <t>SAN PEDRO DE URABA</t>
  </si>
  <si>
    <t>05665</t>
  </si>
  <si>
    <t>SAN PELAYO</t>
  </si>
  <si>
    <t>23686</t>
  </si>
  <si>
    <t>SAN RAFAEL</t>
  </si>
  <si>
    <t>05667</t>
  </si>
  <si>
    <t>SAN ROQUE</t>
  </si>
  <si>
    <t>05670</t>
  </si>
  <si>
    <t>SAN ROSA VITERBO</t>
  </si>
  <si>
    <t>15693</t>
  </si>
  <si>
    <t>SAN SEBASTIAN</t>
  </si>
  <si>
    <t>19693</t>
  </si>
  <si>
    <t>SAN SEBASTIAN DE BUENAVISTA</t>
  </si>
  <si>
    <t>47692</t>
  </si>
  <si>
    <t>SAN VICENTE</t>
  </si>
  <si>
    <t>05674</t>
  </si>
  <si>
    <t>SAN VICENTE DE CHUCURÍ</t>
  </si>
  <si>
    <t>68689</t>
  </si>
  <si>
    <t>SAN VICENTE DEL CAGUÁN</t>
  </si>
  <si>
    <t>18753</t>
  </si>
  <si>
    <t>SAN ZENON</t>
  </si>
  <si>
    <t>47703</t>
  </si>
  <si>
    <t>SANDONÁ</t>
  </si>
  <si>
    <t>52683</t>
  </si>
  <si>
    <t>SANTA ANA</t>
  </si>
  <si>
    <t>47707</t>
  </si>
  <si>
    <t>SANTA BaRBARA</t>
  </si>
  <si>
    <t>05679</t>
  </si>
  <si>
    <t>52696</t>
  </si>
  <si>
    <t>SANTA BÁRBARA</t>
  </si>
  <si>
    <t>68705</t>
  </si>
  <si>
    <t>SANTA BARBARA DE PINTO</t>
  </si>
  <si>
    <t>47720</t>
  </si>
  <si>
    <t>SANTA CATALINA</t>
  </si>
  <si>
    <t>13673</t>
  </si>
  <si>
    <t>SANTA CRUZ</t>
  </si>
  <si>
    <t>52699</t>
  </si>
  <si>
    <t>SANTA HELENA DEL OPÓN</t>
  </si>
  <si>
    <t>68720</t>
  </si>
  <si>
    <t>SANTA ISABEL</t>
  </si>
  <si>
    <t>73686</t>
  </si>
  <si>
    <t>SANTA LUCiA</t>
  </si>
  <si>
    <t>08675</t>
  </si>
  <si>
    <t>SANTA MARÍA</t>
  </si>
  <si>
    <t>15690</t>
  </si>
  <si>
    <t>41676</t>
  </si>
  <si>
    <t>SANTA MARTA</t>
  </si>
  <si>
    <t>47001</t>
  </si>
  <si>
    <t>SANTA ROSA</t>
  </si>
  <si>
    <t>19701</t>
  </si>
  <si>
    <t>SANTA ROSA DE CABAL</t>
  </si>
  <si>
    <t>66682</t>
  </si>
  <si>
    <t>SANTA ROSA DE LIMA</t>
  </si>
  <si>
    <t>13683</t>
  </si>
  <si>
    <t>SANTA ROSA de osos</t>
  </si>
  <si>
    <t>05686</t>
  </si>
  <si>
    <t>SANTA ROSA DEL SUR</t>
  </si>
  <si>
    <t>13688</t>
  </si>
  <si>
    <t>SANTA ROSALÍA</t>
  </si>
  <si>
    <t>99624</t>
  </si>
  <si>
    <t>SANTA SOFÍA</t>
  </si>
  <si>
    <t>15696</t>
  </si>
  <si>
    <t>SANTAFÉ DE ANTIOQUIA</t>
  </si>
  <si>
    <t>05042</t>
  </si>
  <si>
    <t>SANTANA</t>
  </si>
  <si>
    <t>15686</t>
  </si>
  <si>
    <t>SANTANDER DE QUILICHAO</t>
  </si>
  <si>
    <t>19698</t>
  </si>
  <si>
    <t>SANTIAGO</t>
  </si>
  <si>
    <t>54680</t>
  </si>
  <si>
    <t>86760</t>
  </si>
  <si>
    <t>SANTIAGO DE TOLÚ</t>
  </si>
  <si>
    <t>70820</t>
  </si>
  <si>
    <t>SANTO DOMINGO</t>
  </si>
  <si>
    <t>05690</t>
  </si>
  <si>
    <t>Santo Tomas</t>
  </si>
  <si>
    <t>08685</t>
  </si>
  <si>
    <t>SANTUARIO</t>
  </si>
  <si>
    <t>05697</t>
  </si>
  <si>
    <t>66687</t>
  </si>
  <si>
    <t>SAPUYES</t>
  </si>
  <si>
    <t>52720</t>
  </si>
  <si>
    <t>SARAVENA</t>
  </si>
  <si>
    <t>81736</t>
  </si>
  <si>
    <t>SARDINATA</t>
  </si>
  <si>
    <t>54720</t>
  </si>
  <si>
    <t>SASAIMA</t>
  </si>
  <si>
    <t>25718</t>
  </si>
  <si>
    <t>SATIVANORTE</t>
  </si>
  <si>
    <t>15720</t>
  </si>
  <si>
    <t>SATIVASUR</t>
  </si>
  <si>
    <t>15723</t>
  </si>
  <si>
    <t>SEGOVIA</t>
  </si>
  <si>
    <t>05736</t>
  </si>
  <si>
    <t>SESQUILÉ</t>
  </si>
  <si>
    <t>25736</t>
  </si>
  <si>
    <t>SEVILLA</t>
  </si>
  <si>
    <t>76736</t>
  </si>
  <si>
    <t>SIACHOQUE</t>
  </si>
  <si>
    <t>15740</t>
  </si>
  <si>
    <t>SOACHA</t>
  </si>
  <si>
    <t>SIBATÉ</t>
  </si>
  <si>
    <t>25740</t>
  </si>
  <si>
    <t>SIBUNDOY</t>
  </si>
  <si>
    <t>86749</t>
  </si>
  <si>
    <t>SILOS</t>
  </si>
  <si>
    <t>54743</t>
  </si>
  <si>
    <t>SILVANIA</t>
  </si>
  <si>
    <t>25743</t>
  </si>
  <si>
    <t>Silvia</t>
  </si>
  <si>
    <t>19743</t>
  </si>
  <si>
    <t>SIMACOTA</t>
  </si>
  <si>
    <t>68745</t>
  </si>
  <si>
    <t>SIMIJACA</t>
  </si>
  <si>
    <t>25745</t>
  </si>
  <si>
    <t>SIMITÍ</t>
  </si>
  <si>
    <t>13744</t>
  </si>
  <si>
    <t>SINCÉ</t>
  </si>
  <si>
    <t>70742</t>
  </si>
  <si>
    <t>SINCELEJO</t>
  </si>
  <si>
    <t>70001</t>
  </si>
  <si>
    <t>SIPÍ</t>
  </si>
  <si>
    <t>27745</t>
  </si>
  <si>
    <t>SITIONUEVO</t>
  </si>
  <si>
    <t>47745</t>
  </si>
  <si>
    <t>25754</t>
  </si>
  <si>
    <t>SOATÁ</t>
  </si>
  <si>
    <t>15753</t>
  </si>
  <si>
    <t>SOCHA</t>
  </si>
  <si>
    <t>15757</t>
  </si>
  <si>
    <t>SOCORRO</t>
  </si>
  <si>
    <t>68755</t>
  </si>
  <si>
    <t>SOCOTÁ</t>
  </si>
  <si>
    <t>15755</t>
  </si>
  <si>
    <t>SOGAMOSO</t>
  </si>
  <si>
    <t>15759</t>
  </si>
  <si>
    <t>SOLANO</t>
  </si>
  <si>
    <t>18756</t>
  </si>
  <si>
    <t>SOLEDAD</t>
  </si>
  <si>
    <t>08758</t>
  </si>
  <si>
    <t>SOLITA</t>
  </si>
  <si>
    <t>18785</t>
  </si>
  <si>
    <t>SOMONDOCO</t>
  </si>
  <si>
    <t>15761</t>
  </si>
  <si>
    <t>SONSON</t>
  </si>
  <si>
    <t>05756</t>
  </si>
  <si>
    <t>SOPETRaN</t>
  </si>
  <si>
    <t>05761</t>
  </si>
  <si>
    <t>SOPLAVIENTO</t>
  </si>
  <si>
    <t>13760</t>
  </si>
  <si>
    <t>SOPÓ</t>
  </si>
  <si>
    <t>25758</t>
  </si>
  <si>
    <t>SORA</t>
  </si>
  <si>
    <t>15762</t>
  </si>
  <si>
    <t>SORACÁ</t>
  </si>
  <si>
    <t>15764</t>
  </si>
  <si>
    <t>SOTAQUIRÁ</t>
  </si>
  <si>
    <t>15763</t>
  </si>
  <si>
    <t>SOTARA</t>
  </si>
  <si>
    <t>19760</t>
  </si>
  <si>
    <t>SUAITA</t>
  </si>
  <si>
    <t>68770</t>
  </si>
  <si>
    <t>SUAN</t>
  </si>
  <si>
    <t>08770</t>
  </si>
  <si>
    <t>SUAREZ</t>
  </si>
  <si>
    <t>19780</t>
  </si>
  <si>
    <t>SUÁREZ</t>
  </si>
  <si>
    <t>73770</t>
  </si>
  <si>
    <t>SUAZA</t>
  </si>
  <si>
    <t>41770</t>
  </si>
  <si>
    <t>SUBACHOQUE</t>
  </si>
  <si>
    <t>25769</t>
  </si>
  <si>
    <t>19785</t>
  </si>
  <si>
    <t>68773</t>
  </si>
  <si>
    <t>70771</t>
  </si>
  <si>
    <t>SUESCA</t>
  </si>
  <si>
    <t>25772</t>
  </si>
  <si>
    <t>SUPATÁ</t>
  </si>
  <si>
    <t>25777</t>
  </si>
  <si>
    <t>SUPÍA</t>
  </si>
  <si>
    <t>17777</t>
  </si>
  <si>
    <t>SURATA</t>
  </si>
  <si>
    <t>68780</t>
  </si>
  <si>
    <t>SUSA</t>
  </si>
  <si>
    <t>25779</t>
  </si>
  <si>
    <t>SUSACÓN</t>
  </si>
  <si>
    <t>15774</t>
  </si>
  <si>
    <t>SUTAMARCHÁN</t>
  </si>
  <si>
    <t>15776</t>
  </si>
  <si>
    <t>SUTATAUSA</t>
  </si>
  <si>
    <t>25781</t>
  </si>
  <si>
    <t>SUTATENZA</t>
  </si>
  <si>
    <t>15778</t>
  </si>
  <si>
    <t>TABIO</t>
  </si>
  <si>
    <t>25785</t>
  </si>
  <si>
    <t>TADÓ</t>
  </si>
  <si>
    <t>27787</t>
  </si>
  <si>
    <t>TALAIGUA NUEVO</t>
  </si>
  <si>
    <t>13780</t>
  </si>
  <si>
    <t>TAMALAMEQUE</t>
  </si>
  <si>
    <t>20787</t>
  </si>
  <si>
    <t>TÁMARA</t>
  </si>
  <si>
    <t>85400</t>
  </si>
  <si>
    <t>TAME</t>
  </si>
  <si>
    <t>81794</t>
  </si>
  <si>
    <t>TÁMESIS</t>
  </si>
  <si>
    <t>05789</t>
  </si>
  <si>
    <t>TAMINANGO</t>
  </si>
  <si>
    <t>52786</t>
  </si>
  <si>
    <t>TANGUA</t>
  </si>
  <si>
    <t>52788</t>
  </si>
  <si>
    <t>TARAIRA</t>
  </si>
  <si>
    <t>97666</t>
  </si>
  <si>
    <t>TARAPACÁ</t>
  </si>
  <si>
    <t>91798</t>
  </si>
  <si>
    <t>TARAZÁ</t>
  </si>
  <si>
    <t>05790</t>
  </si>
  <si>
    <t>TARQUI</t>
  </si>
  <si>
    <t>41791</t>
  </si>
  <si>
    <t>TARSO</t>
  </si>
  <si>
    <t>05792</t>
  </si>
  <si>
    <t>TASCO</t>
  </si>
  <si>
    <t>15790</t>
  </si>
  <si>
    <t>TAURAMENA</t>
  </si>
  <si>
    <t>85410</t>
  </si>
  <si>
    <t>TAUSA</t>
  </si>
  <si>
    <t>25793</t>
  </si>
  <si>
    <t>TELLO</t>
  </si>
  <si>
    <t>41799</t>
  </si>
  <si>
    <t>TENA</t>
  </si>
  <si>
    <t>25797</t>
  </si>
  <si>
    <t>TENERIFE</t>
  </si>
  <si>
    <t>47798</t>
  </si>
  <si>
    <t>TENJO</t>
  </si>
  <si>
    <t>25799</t>
  </si>
  <si>
    <t>TENZA</t>
  </si>
  <si>
    <t>15798</t>
  </si>
  <si>
    <t>TEORAMA</t>
  </si>
  <si>
    <t>54800</t>
  </si>
  <si>
    <t>TERUEL</t>
  </si>
  <si>
    <t>41801</t>
  </si>
  <si>
    <t>TESALIA</t>
  </si>
  <si>
    <t>41797</t>
  </si>
  <si>
    <t>TIBACUY</t>
  </si>
  <si>
    <t>25805</t>
  </si>
  <si>
    <t>TIBANÁ</t>
  </si>
  <si>
    <t>15804</t>
  </si>
  <si>
    <t>TIBASOSA</t>
  </si>
  <si>
    <t>15806</t>
  </si>
  <si>
    <t>TIBIRITA</t>
  </si>
  <si>
    <t>25807</t>
  </si>
  <si>
    <t>TIBÚ</t>
  </si>
  <si>
    <t>54810</t>
  </si>
  <si>
    <t>ALTO SINU</t>
  </si>
  <si>
    <t>TIERRALTA</t>
  </si>
  <si>
    <t>23807</t>
  </si>
  <si>
    <t>TIMANÁ</t>
  </si>
  <si>
    <t>41807</t>
  </si>
  <si>
    <t>TIMBIO</t>
  </si>
  <si>
    <t>19807</t>
  </si>
  <si>
    <t>TIMBIQUI</t>
  </si>
  <si>
    <t>19809</t>
  </si>
  <si>
    <t>TINJACÁ</t>
  </si>
  <si>
    <t>15808</t>
  </si>
  <si>
    <t>TIPACOQUE</t>
  </si>
  <si>
    <t>15810</t>
  </si>
  <si>
    <t>TIQUISIO</t>
  </si>
  <si>
    <t>13810</t>
  </si>
  <si>
    <t>TITIRIBÍ</t>
  </si>
  <si>
    <t>05809</t>
  </si>
  <si>
    <t>TOCA</t>
  </si>
  <si>
    <t>15814</t>
  </si>
  <si>
    <t>TOCAIMA</t>
  </si>
  <si>
    <t>25815</t>
  </si>
  <si>
    <t>TOCANCIPÁ</t>
  </si>
  <si>
    <t>25817</t>
  </si>
  <si>
    <t>TOGÜÍ</t>
  </si>
  <si>
    <t>15816</t>
  </si>
  <si>
    <t>TOLEDO</t>
  </si>
  <si>
    <t>05819</t>
  </si>
  <si>
    <t>54820</t>
  </si>
  <si>
    <t>TOLÚ VIEJO</t>
  </si>
  <si>
    <t>70823</t>
  </si>
  <si>
    <t>TONA</t>
  </si>
  <si>
    <t>68820</t>
  </si>
  <si>
    <t>TÓPAGA</t>
  </si>
  <si>
    <t>15820</t>
  </si>
  <si>
    <t>TOPAIPI</t>
  </si>
  <si>
    <t>25823</t>
  </si>
  <si>
    <t>TORIBIO</t>
  </si>
  <si>
    <t>19821</t>
  </si>
  <si>
    <t>TORO</t>
  </si>
  <si>
    <t>76823</t>
  </si>
  <si>
    <t>TOTA</t>
  </si>
  <si>
    <t>15822</t>
  </si>
  <si>
    <t>TOTORO</t>
  </si>
  <si>
    <t>19824</t>
  </si>
  <si>
    <t>TRINIDAD</t>
  </si>
  <si>
    <t>85430</t>
  </si>
  <si>
    <t>TRUJILLO</t>
  </si>
  <si>
    <t>76828</t>
  </si>
  <si>
    <t>TUBARA</t>
  </si>
  <si>
    <t>08832</t>
  </si>
  <si>
    <t>TULUÁ</t>
  </si>
  <si>
    <t>76834</t>
  </si>
  <si>
    <t>TUMACO</t>
  </si>
  <si>
    <t>52835</t>
  </si>
  <si>
    <t>TUNJA</t>
  </si>
  <si>
    <t>15001</t>
  </si>
  <si>
    <t>TUNUNGUÁ</t>
  </si>
  <si>
    <t>15832</t>
  </si>
  <si>
    <t>TUQUERRES</t>
  </si>
  <si>
    <t>52838</t>
  </si>
  <si>
    <t>TURBACO</t>
  </si>
  <si>
    <t>13836</t>
  </si>
  <si>
    <t>TURBANA</t>
  </si>
  <si>
    <t>13838</t>
  </si>
  <si>
    <t>TURBO</t>
  </si>
  <si>
    <t>05837</t>
  </si>
  <si>
    <t>TURMEQUÉ</t>
  </si>
  <si>
    <t>15835</t>
  </si>
  <si>
    <t>TUTA</t>
  </si>
  <si>
    <t>15837</t>
  </si>
  <si>
    <t>TUTAZÁ</t>
  </si>
  <si>
    <t>15839</t>
  </si>
  <si>
    <t>UBALÁ</t>
  </si>
  <si>
    <t>25839</t>
  </si>
  <si>
    <t>UBAQUE</t>
  </si>
  <si>
    <t>25841</t>
  </si>
  <si>
    <t>25843</t>
  </si>
  <si>
    <t>ULLOA</t>
  </si>
  <si>
    <t>76845</t>
  </si>
  <si>
    <t>UMBITA</t>
  </si>
  <si>
    <t>15842</t>
  </si>
  <si>
    <t>UNE</t>
  </si>
  <si>
    <t>25845</t>
  </si>
  <si>
    <t>UNGUÍA</t>
  </si>
  <si>
    <t>27800</t>
  </si>
  <si>
    <t>UNION PANAMERICANA</t>
  </si>
  <si>
    <t>27810</t>
  </si>
  <si>
    <t>URAMITA</t>
  </si>
  <si>
    <t>05842</t>
  </si>
  <si>
    <t>URIBIA</t>
  </si>
  <si>
    <t>44847</t>
  </si>
  <si>
    <t>URRAO</t>
  </si>
  <si>
    <t>05847</t>
  </si>
  <si>
    <t>URUMITA</t>
  </si>
  <si>
    <t>44855</t>
  </si>
  <si>
    <t>USIACURi</t>
  </si>
  <si>
    <t>08849</t>
  </si>
  <si>
    <t>ÚTICA</t>
  </si>
  <si>
    <t>25851</t>
  </si>
  <si>
    <t>VALDIVIA</t>
  </si>
  <si>
    <t>05854</t>
  </si>
  <si>
    <t>VALENCIA</t>
  </si>
  <si>
    <t>23855</t>
  </si>
  <si>
    <t>VALLE DE SAN JOSÉ</t>
  </si>
  <si>
    <t>68855</t>
  </si>
  <si>
    <t>VALLE DE SAN JUAN</t>
  </si>
  <si>
    <t>73854</t>
  </si>
  <si>
    <t>VALLE DEL GUAMUEZ</t>
  </si>
  <si>
    <t>86865</t>
  </si>
  <si>
    <t>VALLEDUPAR</t>
  </si>
  <si>
    <t>20001</t>
  </si>
  <si>
    <t>VALPARAISO</t>
  </si>
  <si>
    <t>05856</t>
  </si>
  <si>
    <t>18860</t>
  </si>
  <si>
    <t>VEGACHÍ</t>
  </si>
  <si>
    <t>05858</t>
  </si>
  <si>
    <t>VÉLEZ</t>
  </si>
  <si>
    <t>68861</t>
  </si>
  <si>
    <t>VENADILLO</t>
  </si>
  <si>
    <t>73861</t>
  </si>
  <si>
    <t>VENECIA</t>
  </si>
  <si>
    <t>05861</t>
  </si>
  <si>
    <t>25506</t>
  </si>
  <si>
    <t>VENTAQUEMADA</t>
  </si>
  <si>
    <t>15861</t>
  </si>
  <si>
    <t>VERGARA</t>
  </si>
  <si>
    <t>25862</t>
  </si>
  <si>
    <t>VERSALLES</t>
  </si>
  <si>
    <t>76863</t>
  </si>
  <si>
    <t>VETAS</t>
  </si>
  <si>
    <t>68867</t>
  </si>
  <si>
    <t>VIANÍ</t>
  </si>
  <si>
    <t>25867</t>
  </si>
  <si>
    <t>VICTORIA</t>
  </si>
  <si>
    <t>17867</t>
  </si>
  <si>
    <t>VIGÍA DEL FUERTE</t>
  </si>
  <si>
    <t>05873</t>
  </si>
  <si>
    <t>VIJES</t>
  </si>
  <si>
    <t>76869</t>
  </si>
  <si>
    <t>VILLA CARO</t>
  </si>
  <si>
    <t>54871</t>
  </si>
  <si>
    <t>VILLA DE LEYVA</t>
  </si>
  <si>
    <t>15407</t>
  </si>
  <si>
    <t>VILLA DEL ROSARIO</t>
  </si>
  <si>
    <t>54874</t>
  </si>
  <si>
    <t>VILLA GARZON</t>
  </si>
  <si>
    <t>86885</t>
  </si>
  <si>
    <t>VILLA RICA</t>
  </si>
  <si>
    <t>19845</t>
  </si>
  <si>
    <t>VILLAGOMEZ</t>
  </si>
  <si>
    <t>25871</t>
  </si>
  <si>
    <t>VILLAHERMOSA</t>
  </si>
  <si>
    <t>73870</t>
  </si>
  <si>
    <t>VILLAMARiA</t>
  </si>
  <si>
    <t>17873</t>
  </si>
  <si>
    <t>VILLANUEVA</t>
  </si>
  <si>
    <t>13873</t>
  </si>
  <si>
    <t>85440</t>
  </si>
  <si>
    <t>44874</t>
  </si>
  <si>
    <t>68872</t>
  </si>
  <si>
    <t>VILLAPINZÓN</t>
  </si>
  <si>
    <t>25873</t>
  </si>
  <si>
    <t>VILLARRICA</t>
  </si>
  <si>
    <t>73873</t>
  </si>
  <si>
    <t>VILLAVICENCIO</t>
  </si>
  <si>
    <t>50001</t>
  </si>
  <si>
    <t>VILLAVIEJA</t>
  </si>
  <si>
    <t>41872</t>
  </si>
  <si>
    <t>VILLETA</t>
  </si>
  <si>
    <t>25875</t>
  </si>
  <si>
    <t>VIOTÁ</t>
  </si>
  <si>
    <t>25878</t>
  </si>
  <si>
    <t>VIRACACHÁ</t>
  </si>
  <si>
    <t>15879</t>
  </si>
  <si>
    <t>VISTA HERMOSA</t>
  </si>
  <si>
    <t>50711</t>
  </si>
  <si>
    <t>VITERBO</t>
  </si>
  <si>
    <t>17877</t>
  </si>
  <si>
    <t>YACOPÍ</t>
  </si>
  <si>
    <t>25885</t>
  </si>
  <si>
    <t>YACUANQUER</t>
  </si>
  <si>
    <t>52885</t>
  </si>
  <si>
    <t>YAGUARÁ</t>
  </si>
  <si>
    <t>41885</t>
  </si>
  <si>
    <t>YALÍ</t>
  </si>
  <si>
    <t>05885</t>
  </si>
  <si>
    <t>YARUMAL</t>
  </si>
  <si>
    <t>05887</t>
  </si>
  <si>
    <t>YAVARATÉ</t>
  </si>
  <si>
    <t>97889</t>
  </si>
  <si>
    <t>YOLOMBÓ</t>
  </si>
  <si>
    <t>05890</t>
  </si>
  <si>
    <t>YONDÓ</t>
  </si>
  <si>
    <t>05893</t>
  </si>
  <si>
    <t>YOPAL</t>
  </si>
  <si>
    <t>85001</t>
  </si>
  <si>
    <t>YOTOCO</t>
  </si>
  <si>
    <t>76890</t>
  </si>
  <si>
    <t>YUMBO</t>
  </si>
  <si>
    <t>76892</t>
  </si>
  <si>
    <t>ZAMBRANO</t>
  </si>
  <si>
    <t>13894</t>
  </si>
  <si>
    <t>ZAPATOCA</t>
  </si>
  <si>
    <t>68895</t>
  </si>
  <si>
    <t>ZAPAYAN</t>
  </si>
  <si>
    <t>47960</t>
  </si>
  <si>
    <t>ZARAGOZA</t>
  </si>
  <si>
    <t>05895</t>
  </si>
  <si>
    <t>ZARZAL</t>
  </si>
  <si>
    <t>76895</t>
  </si>
  <si>
    <t>ZETAQUIRA</t>
  </si>
  <si>
    <t>15897</t>
  </si>
  <si>
    <t>ZIPACoN</t>
  </si>
  <si>
    <t>25898</t>
  </si>
  <si>
    <t>ZIPAQUIRÁ</t>
  </si>
  <si>
    <t>25899</t>
  </si>
  <si>
    <t>ZONA BANANERA</t>
  </si>
  <si>
    <t>47980</t>
  </si>
  <si>
    <t>CODIGO</t>
  </si>
  <si>
    <t>DOCENTE</t>
  </si>
  <si>
    <t>CORREO INSTITUCIONAL</t>
  </si>
  <si>
    <t>SCOPUS</t>
  </si>
  <si>
    <t>T00076376</t>
  </si>
  <si>
    <t>YADY TATIANA SOLANO CORREA</t>
  </si>
  <si>
    <t>https://www.scopus.com/authid/detail.uri?authorId=57156565000</t>
  </si>
  <si>
    <t>T00057322</t>
  </si>
  <si>
    <t>https://www.scopus.com/authid/detail.uri?authorId=14622047600</t>
  </si>
  <si>
    <t>T00013767</t>
  </si>
  <si>
    <t>ANDRES GUILLERMO MARRUGO HERNANDEZ</t>
  </si>
  <si>
    <t>https://www.scopus.com/authid/detail.uri?authorId=24329839300</t>
  </si>
  <si>
    <t>T00014261</t>
  </si>
  <si>
    <t>HOLMAN OSPINA MATEUS</t>
  </si>
  <si>
    <t>https://www.scopus.com/authid/detail.uri?authorId=57194034904</t>
  </si>
  <si>
    <t>T00000243</t>
  </si>
  <si>
    <t>SONIA HELENA CONTRERAS ORTIZ</t>
  </si>
  <si>
    <t>scontreras@utb.edu.co</t>
  </si>
  <si>
    <t>https://www.scopus.com/authid/detail.uri?authorId=57210822856</t>
  </si>
  <si>
    <t>T00000080</t>
  </si>
  <si>
    <t>LENNY ALEXANDRA ROMERO PEREZ</t>
  </si>
  <si>
    <t>lromero@utb.edu.co</t>
  </si>
  <si>
    <t>https://www.scopus.com/authid/detail.uri?authorId=36142156300</t>
  </si>
  <si>
    <t>MAESTRÍA</t>
  </si>
  <si>
    <t>T00009693</t>
  </si>
  <si>
    <t>JAIRO FRANCISCO USECHE VIVERO</t>
  </si>
  <si>
    <t>juseche@utb.edu.co</t>
  </si>
  <si>
    <t>https://www.scopus.com/authid/detail.uri?authorId=24537991200</t>
  </si>
  <si>
    <t>T00000254</t>
  </si>
  <si>
    <t>JUAN CARLOS MARTINEZ SANTOS</t>
  </si>
  <si>
    <t>https://www.scopus.com/authid/detail.uri?authorId=26325154200</t>
  </si>
  <si>
    <t>T00000068</t>
  </si>
  <si>
    <t>JOSE LUIS VILLA RAMIREZ</t>
  </si>
  <si>
    <t>jvilla@utb.edu.co</t>
  </si>
  <si>
    <t>https://scopus.utb.elogim.com/authid/detail.uri?authorId=57195913752</t>
  </si>
  <si>
    <t>T00069449</t>
  </si>
  <si>
    <t>DAVID SIERRA PORTA</t>
  </si>
  <si>
    <t>https://www.scopus.com/authid/detail.uri?authorId=57191333650</t>
  </si>
  <si>
    <t>T00021680</t>
  </si>
  <si>
    <t>MIGUEL EFREN GARCES PRETTEL</t>
  </si>
  <si>
    <t>https://www.scopus.com/authid/detail.uri?authorId=57193012270</t>
  </si>
  <si>
    <t>T00020729</t>
  </si>
  <si>
    <t>ROSA LEONOR ACEVEDO BARRIOS</t>
  </si>
  <si>
    <t>https://www.scopus.com/authid/detail.uri?authorId=56674579200</t>
  </si>
  <si>
    <t>T00049553</t>
  </si>
  <si>
    <t>DIANA CAROLINA RUBIANO LABRADOR</t>
  </si>
  <si>
    <t>drubiano@utb.edu.co</t>
  </si>
  <si>
    <t>https://scopus.utb.elogim.com/authid/detail.uri?authorId=55649334800</t>
  </si>
  <si>
    <t>T00044492</t>
  </si>
  <si>
    <t>MAURO ANTONIO MAZA CHAMORRO</t>
  </si>
  <si>
    <t>https://www.scopus.com/authid/detail.uri?authorId=55872162200</t>
  </si>
  <si>
    <t>T00053267</t>
  </si>
  <si>
    <t>EDISSON CHAVARRO MESA</t>
  </si>
  <si>
    <t>https://www.scopus.com/authid/detail.uri?authorId=57188841051</t>
  </si>
  <si>
    <t>T00057415</t>
  </si>
  <si>
    <t>DEYLER RAFAEL CASTILLA CABALLERO</t>
  </si>
  <si>
    <t>https://www.scopus.com/authid/detail.uri?authorId=57024211000</t>
  </si>
  <si>
    <t>T00007524</t>
  </si>
  <si>
    <t>JUAN GABRIEL FAJARDO CUADRO</t>
  </si>
  <si>
    <t>https://www.scopus.com/authid/detail.uri?authorId=56581610900</t>
  </si>
  <si>
    <t>T00008436</t>
  </si>
  <si>
    <t>EDWIN ALEXANDER PUERTAS DEL CASTILLO</t>
  </si>
  <si>
    <t>https://www.scopus.com/authid/detail.uri?authorId=57202285682</t>
  </si>
  <si>
    <t>T00052721</t>
  </si>
  <si>
    <t>PEDRO VAZQUEZ MIRAZ</t>
  </si>
  <si>
    <t>https://www.scopus.com/authid/detail.uri?authorId=57196040759</t>
  </si>
  <si>
    <t>T00010915</t>
  </si>
  <si>
    <t>JAIRO ENRIQUE SERRANO CASTAÑEDA</t>
  </si>
  <si>
    <t>https://www.scopus.com/authid/detail.uri?authorId=57220927199</t>
  </si>
  <si>
    <t>T00019649</t>
  </si>
  <si>
    <t>KAROL PATRICIA GUTIERREZ RUIZ</t>
  </si>
  <si>
    <t>https://www.scopus.com/authid/detail.uri?authorId=57192930752</t>
  </si>
  <si>
    <t>T00059175</t>
  </si>
  <si>
    <t>CLAUDIA PATRICIA DIAZ MENDOZA</t>
  </si>
  <si>
    <t>cdiaz@utb.edu.co</t>
  </si>
  <si>
    <t>https://www.scopus.com/authid/detail.uri?authorId=55258973100</t>
  </si>
  <si>
    <t>T00000049</t>
  </si>
  <si>
    <t>OSCAR ACEVEDO PATIÑO</t>
  </si>
  <si>
    <t>https://www.scopus.com/authid/detail.uri?authorId=57197327858</t>
  </si>
  <si>
    <t>T00055760</t>
  </si>
  <si>
    <t>JEOVANNY DE JESUS MUENTES ACEVEDO</t>
  </si>
  <si>
    <t>jmuentes@utb.edu.co</t>
  </si>
  <si>
    <t>MATEMÁTICAS</t>
  </si>
  <si>
    <t>https://www.scopus.com/authid/detail.uri?authorId=57222990626</t>
  </si>
  <si>
    <t>T00069460</t>
  </si>
  <si>
    <t>ARGEMIRO PALENCIA DIAZ</t>
  </si>
  <si>
    <t>https://www.scopus.com/authid/detail.uri?authorId=56801043600</t>
  </si>
  <si>
    <t>T00009384</t>
  </si>
  <si>
    <t>DANIEL TORO GONZALEZ</t>
  </si>
  <si>
    <t>https://www.scopus.com/authid/detail.uri?authorId=56380539800</t>
  </si>
  <si>
    <t>T00000058</t>
  </si>
  <si>
    <t>JORGE LUIS MUÑIZ OLITE</t>
  </si>
  <si>
    <t>https://www.scopus.com/authid/detail.uri?authorId=57758796500</t>
  </si>
  <si>
    <t>T00019348</t>
  </si>
  <si>
    <t>ALBERTO PATIÑO VANEGAS</t>
  </si>
  <si>
    <t>https://www.scopus.com/authid/detail.uri?authorId=57190688459</t>
  </si>
  <si>
    <t>T00022128</t>
  </si>
  <si>
    <t>LUZ ALEJANDRA MAGRE COLORADO</t>
  </si>
  <si>
    <t>https://www.scopus.com/authid/detail.uri?authorId=56682785300</t>
  </si>
  <si>
    <t>T00021700</t>
  </si>
  <si>
    <t>HERNANDO RAFAEL ALTAMAR MERCADO</t>
  </si>
  <si>
    <t>haltamar@utb.edu.co</t>
  </si>
  <si>
    <t>https://www.scopus.com/authid/detail.uri?authorId=57203321995</t>
  </si>
  <si>
    <t>T00012602</t>
  </si>
  <si>
    <t>JENIFER YORIS VASQUEZ AGUILAR</t>
  </si>
  <si>
    <t>https://www.scopus.com/authid/detail.uri?authorId=57205400052</t>
  </si>
  <si>
    <t>T00040553</t>
  </si>
  <si>
    <t>MILTON CESAR GUERRERO PAJARO</t>
  </si>
  <si>
    <t>https://www.scopus.com/authid/detail.uri?authorId=57200615582</t>
  </si>
  <si>
    <t>T00055756</t>
  </si>
  <si>
    <t>TANIA LUCIA COBOS COBOS</t>
  </si>
  <si>
    <t>https://www.scopus.com/authid/detail.uri?authorId=57206773929</t>
  </si>
  <si>
    <t>T00021661</t>
  </si>
  <si>
    <t>JAIRO HUMBERTO CABRERA TOVAR</t>
  </si>
  <si>
    <t>jcabrera@utb.edu.co</t>
  </si>
  <si>
    <t>https://scopus.utb.elogim.com/authid/detail.uri?authorId=57193252278</t>
  </si>
  <si>
    <t>T00028098</t>
  </si>
  <si>
    <t>MARY JUDITH ARIAS TAPIA</t>
  </si>
  <si>
    <t>mariast@utb.edu.co</t>
  </si>
  <si>
    <t>https://www.scopus.com/authid/detail.uri?authorId=57219403758</t>
  </si>
  <si>
    <t>T00000020</t>
  </si>
  <si>
    <t>JORGE ELIECER DUQUE PARDO</t>
  </si>
  <si>
    <t>https://www.scopus.com/authid/detail.uri?authorId=57205658483</t>
  </si>
  <si>
    <t>T00040584</t>
  </si>
  <si>
    <t>ELSY MERCEDES DOMINGUEZ DE LA OSSA</t>
  </si>
  <si>
    <t>https://www.scopus.com/authid/detail.uri?authorId=57223851529</t>
  </si>
  <si>
    <t>T00000060</t>
  </si>
  <si>
    <t>VILMA VIVIANA OJEDA CAICEDO</t>
  </si>
  <si>
    <t>https://www.scopus.com/authid/detail.uri?authorId=57220077867</t>
  </si>
  <si>
    <t>T00000073</t>
  </si>
  <si>
    <t>AARON EDUARDO ESPINOSA ESPINOSA</t>
  </si>
  <si>
    <t>aespinosa@utb.edu.co</t>
  </si>
  <si>
    <t>https://scopus.utb.elogim.com/authid/detail.uri?authorId=57211108028</t>
  </si>
  <si>
    <t>T00040585</t>
  </si>
  <si>
    <t>ADOLFO BALTAR MORENO</t>
  </si>
  <si>
    <t>https://www.scopus.com/authid/detail.uri?authorId=57216868622</t>
  </si>
  <si>
    <t>T00064566</t>
  </si>
  <si>
    <t>HAROLD ALBERTO RODRIGUEZ ARIAS</t>
  </si>
  <si>
    <t>https://www.scopus.com/authid/detail.uri?authorId=57204847841</t>
  </si>
  <si>
    <t>T00038378</t>
  </si>
  <si>
    <t>JAMES MANUEL PEREZ MORON</t>
  </si>
  <si>
    <t>https://www.scopus.com/authid/detail.uri?authorId=57322375300</t>
  </si>
  <si>
    <t>T00000396</t>
  </si>
  <si>
    <t>ANA SUSANA CANTILLO OROZCO</t>
  </si>
  <si>
    <t>https://www.scopus.com/authid/detail.uri?authorId=57208719994</t>
  </si>
  <si>
    <t>T00057400</t>
  </si>
  <si>
    <t>JORGE LUIS VILLALBA ACEVEDO</t>
  </si>
  <si>
    <t>https://scopus.utb.elogim.com/authid/detail.uri?authorId=57918628600</t>
  </si>
  <si>
    <t>T00019354</t>
  </si>
  <si>
    <t>TANIA ISABEL JIMENEZ CASTILLA</t>
  </si>
  <si>
    <t>tjimenez@utb.edu.co</t>
  </si>
  <si>
    <t>https://www.scopus.com/authid/detail.uri?authorId=57204842254</t>
  </si>
  <si>
    <t>T00051182</t>
  </si>
  <si>
    <t>SERGIO VILLAR SALINAS</t>
  </si>
  <si>
    <t>https://www.scopus.com/authid/detail.uri?authorId=57218294431</t>
  </si>
  <si>
    <t>T00014731</t>
  </si>
  <si>
    <t>LINA MARGARITA MARRUGO SALAS</t>
  </si>
  <si>
    <t>https://www.scopus.com/authid/detail.uri?authorId=57192271754</t>
  </si>
  <si>
    <t>T00000064</t>
  </si>
  <si>
    <t>MOISES RAMON QUINTANA ALVAREZ</t>
  </si>
  <si>
    <t>https://www.scopus.com/authid/detail.uri?authorId=55783129400</t>
  </si>
  <si>
    <t>T00000413</t>
  </si>
  <si>
    <t>JORGE LUIS DEL RIO CORTINA</t>
  </si>
  <si>
    <t>https://scopus.utb.elogim.com/authid/detail.uri?authorId=57197807415</t>
  </si>
  <si>
    <t>T00012187</t>
  </si>
  <si>
    <t>YURANIS HENRIQUEZ NUÑEZ</t>
  </si>
  <si>
    <t>https://www.scopus.com/authid/detail.uri?authorId=57982471000</t>
  </si>
  <si>
    <t>T00010972</t>
  </si>
  <si>
    <t>CRISTINA OSORIO DEL VALLE</t>
  </si>
  <si>
    <t>cosorio@utb.edu.co</t>
  </si>
  <si>
    <t>https://scopus.utb.elogim.com/authid/detail.uri?authorId=57220068897</t>
  </si>
  <si>
    <t>T00000062</t>
  </si>
  <si>
    <t>LUIS CARLOS ARRAUT CAMARGO</t>
  </si>
  <si>
    <t>larraut@utb.edu.co</t>
  </si>
  <si>
    <t>https://scopus.utb.elogim.com/authid/detail.uri?authorId=58153979500</t>
  </si>
  <si>
    <t>T00000083</t>
  </si>
  <si>
    <t>DANILO LUSBIN ARIZA RUA</t>
  </si>
  <si>
    <t>T00019346</t>
  </si>
  <si>
    <t>JULIO SEFERINO HURTADO MARQUEZ</t>
  </si>
  <si>
    <t>jhurtado@utb.edu.co</t>
  </si>
  <si>
    <t>https://www.scopus.com/authid/detail.uri?authorId=57195913859</t>
  </si>
  <si>
    <t>T00000057</t>
  </si>
  <si>
    <t>EDUARDO GOMEZ VASQUEZ</t>
  </si>
  <si>
    <t>egomez@utb.edu.co</t>
  </si>
  <si>
    <t>https://scopus.utb.elogim.com/authid/detail.uri?authorId=57212006168</t>
  </si>
  <si>
    <t>T00000030</t>
  </si>
  <si>
    <t>JORGE LUIS ALVIS ARRIETA</t>
  </si>
  <si>
    <t>https://www.scopus.com/authid/detail.uri?authorId=58068307100</t>
  </si>
  <si>
    <t>T00000431</t>
  </si>
  <si>
    <t>ELIAS RAFAEL GENEY CASTRO</t>
  </si>
  <si>
    <t>https://www.scopus.com/authid/detail.uri?authorId=57427876200</t>
  </si>
  <si>
    <t>T00015391</t>
  </si>
  <si>
    <t>MARIA FERNANDA MEDINA REYES</t>
  </si>
  <si>
    <t>https://scopus.utb.elogim.com/authid/detail.uri?authorId=57221229836</t>
  </si>
  <si>
    <t>T00012429</t>
  </si>
  <si>
    <t>DAVID JAVIER FORTICH PEREZ</t>
  </si>
  <si>
    <t>https://www.scopus.com/authid/detail.uri?authorId=57201036449</t>
  </si>
  <si>
    <t>T00015209</t>
  </si>
  <si>
    <t>MAURO ANTONIO GONZALEZ SIERRA</t>
  </si>
  <si>
    <t>https://www.scopus.com/authid/detail.uri?authorId=58803522300</t>
  </si>
  <si>
    <t>T00002456</t>
  </si>
  <si>
    <t>ALFREDO MIGUEL ABUCHAR CURI</t>
  </si>
  <si>
    <t>aabuchar@utb.edu.co</t>
  </si>
  <si>
    <t>https://www.scopus.com/authid/detail.uri?authorId=58523557700</t>
  </si>
  <si>
    <t>T00053397</t>
  </si>
  <si>
    <t>CARLOS RAFAEL PAYARES GUEVARA</t>
  </si>
  <si>
    <t>https://scopus.utb.elogim.com/authid/detail.uri?authorId=57225975125&amp;origin=recordpage</t>
  </si>
  <si>
    <t>T00000054</t>
  </si>
  <si>
    <t>WILLIAM ARELLANO CARTAGENA</t>
  </si>
  <si>
    <t>warellano@utb.edu.co</t>
  </si>
  <si>
    <t>https://www.scopus.com/authid/detail.uri?authorId=58068069000</t>
  </si>
  <si>
    <t>T00020031</t>
  </si>
  <si>
    <t>LUIS CARLOS DIAZ CANEDO</t>
  </si>
  <si>
    <t>https://scopus.utb.elogim.com/authid/detail.uri?authorId=57218297655&amp;origin=recordpage</t>
  </si>
  <si>
    <t>T00055292</t>
  </si>
  <si>
    <t>MARCOS RICARDO POSADA LLORENTE</t>
  </si>
  <si>
    <t>mposada@utb.edu.co</t>
  </si>
  <si>
    <t>https://scopus.utb.elogim.com/authid/detail.uri?authorId=57222223605</t>
  </si>
  <si>
    <t>T00021662</t>
  </si>
  <si>
    <t>EDGARDO WILLIAM ARRIETA ORTIZ</t>
  </si>
  <si>
    <t>earrieta@utb.edu.co</t>
  </si>
  <si>
    <t>https://www.scopus.com/authid/detail.uri?authorId=57209248085</t>
  </si>
  <si>
    <t>T00022797</t>
  </si>
  <si>
    <t>RAFAEL DAVID MENDEZ ANILLO</t>
  </si>
  <si>
    <t>https://scopus.utb.elogim.com/authid/detail.uri?authorId=57903699900&amp;origin=recordpage</t>
  </si>
  <si>
    <t>T00003848</t>
  </si>
  <si>
    <t>ALBA ZULAY CARDENAS ESCOBAR</t>
  </si>
  <si>
    <t>acardenas@utb.edu.co</t>
  </si>
  <si>
    <t>https://www.scopus.com/authid/detail.uri?authorId=57930948900</t>
  </si>
  <si>
    <t>T00076574</t>
  </si>
  <si>
    <t>IRIS LAUDITH SOLANO CAHUANA</t>
  </si>
  <si>
    <t>CENTRO DE IDIOMAS</t>
  </si>
  <si>
    <t>T00013998</t>
  </si>
  <si>
    <t>ORIANA SUSANA MARTINEZ PALOMINO</t>
  </si>
  <si>
    <t>https://scopus.utb.elogim.com/authid/detail.uri?authorId=57918232800&amp;origin=recordpage</t>
  </si>
  <si>
    <t>T00064142</t>
  </si>
  <si>
    <t>ALBERTO JOSE HERRERA DIAZ</t>
  </si>
  <si>
    <t>albherrera@utb.edu.co</t>
  </si>
  <si>
    <t>T00039408</t>
  </si>
  <si>
    <t>ANGELA PATRICIA BARRETO MAYA</t>
  </si>
  <si>
    <t>T00001023</t>
  </si>
  <si>
    <t>ARMANDO ANTONIO MENDOZA DIAZ</t>
  </si>
  <si>
    <t>amendoza@utb.edu.co</t>
  </si>
  <si>
    <t>T00018350</t>
  </si>
  <si>
    <t>ARMANDO JOSE MERCADO VEGA</t>
  </si>
  <si>
    <t>T00057359</t>
  </si>
  <si>
    <t>AUGUSTO ANDRES ALEAN ROMERO</t>
  </si>
  <si>
    <t>T00000028</t>
  </si>
  <si>
    <t>BENJAMIN DE JESUS GARCIA GARCERANT</t>
  </si>
  <si>
    <t>T00060590</t>
  </si>
  <si>
    <t>BRYAM NICOLAS BENAVIDES HERRERA</t>
  </si>
  <si>
    <t>T00001541</t>
  </si>
  <si>
    <t>EDER ANTONIO BARRIOS HERNANDEZ</t>
  </si>
  <si>
    <t>T00007445</t>
  </si>
  <si>
    <t>FABIAN ALFONSO GAZABON ARRIETA</t>
  </si>
  <si>
    <t>T00084152</t>
  </si>
  <si>
    <t>T00057328</t>
  </si>
  <si>
    <t>FEDERICO OCHOA ESCOBAR</t>
  </si>
  <si>
    <t>T00019393</t>
  </si>
  <si>
    <t>GABRIEL ROMAN MELENDEZ</t>
  </si>
  <si>
    <t>T00019336</t>
  </si>
  <si>
    <t>GIANNINA  GUERRERO ARRIETA</t>
  </si>
  <si>
    <t>giguerrero@utb.edu.co</t>
  </si>
  <si>
    <t>T00000065</t>
  </si>
  <si>
    <t>GLORIA ISABEL BAUTISTA LASPRILLA</t>
  </si>
  <si>
    <t>T00055242</t>
  </si>
  <si>
    <t>GRACIELA VICTORIA FRANCO MARTINEZ</t>
  </si>
  <si>
    <t>gfranco@utb.edu.co</t>
  </si>
  <si>
    <t>T00076572</t>
  </si>
  <si>
    <t>GUSTAVO ADOLFO JAUREGUI POSSO</t>
  </si>
  <si>
    <t>T00051977</t>
  </si>
  <si>
    <t>HERNAN SAULO TORRES CUELLO</t>
  </si>
  <si>
    <t>T00053361</t>
  </si>
  <si>
    <t>HUGO ARMANDO ESCORCIA PACHECO</t>
  </si>
  <si>
    <t>T00010571</t>
  </si>
  <si>
    <t>HUMBERTO MANUEL MARBELLO PEÑA</t>
  </si>
  <si>
    <t>hmarbello@utb.edu.co</t>
  </si>
  <si>
    <t>INGRID YANETH SILVA ARROYO</t>
  </si>
  <si>
    <t>isilva@utb.edu.co</t>
  </si>
  <si>
    <t>T00000021</t>
  </si>
  <si>
    <t>T00081960</t>
  </si>
  <si>
    <t>JAVIER ALCIDES RAMOS ZAMBRANO</t>
  </si>
  <si>
    <t>T00035572</t>
  </si>
  <si>
    <t>JEFFERSON ANDRES PIEDRAHITA GONZALEZ</t>
  </si>
  <si>
    <t>T00020361</t>
  </si>
  <si>
    <t>JEIMER DAVID ORTIZ MARIMON</t>
  </si>
  <si>
    <t>T00030018</t>
  </si>
  <si>
    <t>T00079776</t>
  </si>
  <si>
    <t>JUAN CAMILO MEDELLIN ROJAS</t>
  </si>
  <si>
    <t>T00039722</t>
  </si>
  <si>
    <t>JUAN CARLOS BARRIOS ESPINOSA</t>
  </si>
  <si>
    <t>T00000119</t>
  </si>
  <si>
    <t>JUAN CARLOS MANTILLA GOMEZ</t>
  </si>
  <si>
    <t>jmantilla@utb.edu.co</t>
  </si>
  <si>
    <t>T00000072</t>
  </si>
  <si>
    <t>JUAN CARLOS PALOMINO MANCILLA</t>
  </si>
  <si>
    <t>T00059176</t>
  </si>
  <si>
    <t>JUAN DIEGO VANEGAS MIRANDA</t>
  </si>
  <si>
    <t>T00063148</t>
  </si>
  <si>
    <t>JULIA EVA PRETELT VARGAS</t>
  </si>
  <si>
    <t>T00000050</t>
  </si>
  <si>
    <t>JULIO ANTONIO GOMEZ MORA</t>
  </si>
  <si>
    <t>jgomez@utb.edu.co</t>
  </si>
  <si>
    <t>T00000076</t>
  </si>
  <si>
    <t>LISSETTE DEL ROSARIO URQUIJO BURGOS</t>
  </si>
  <si>
    <t>lurquijo@utb.edu.co</t>
  </si>
  <si>
    <t>T00022976</t>
  </si>
  <si>
    <t>MARELBI DEL CARMEN OLMOS PEREZ</t>
  </si>
  <si>
    <t>T00000077</t>
  </si>
  <si>
    <t>MARIA TERESA RIPOLL DE LEMAITRE</t>
  </si>
  <si>
    <t>T00048018</t>
  </si>
  <si>
    <t>MARTHA ELENA RIVERO RICARDO</t>
  </si>
  <si>
    <t>T00014030</t>
  </si>
  <si>
    <t>MARTHA PATRICIA CASTRO PORTO</t>
  </si>
  <si>
    <t>T00011731</t>
  </si>
  <si>
    <t>MERCEDES LUCIA POSADA MEOLA</t>
  </si>
  <si>
    <t>mposadam@utb.edu.co</t>
  </si>
  <si>
    <t>T00021905</t>
  </si>
  <si>
    <t>MISORLY DEL CARMEN SOTO ACEVEDO</t>
  </si>
  <si>
    <t>T00054899</t>
  </si>
  <si>
    <t>NORJADYS  GONZALEZ GARIZAO</t>
  </si>
  <si>
    <t>ORLANDO JAVIER HIGUERA TORRES</t>
  </si>
  <si>
    <t>ohiguera@utb.edu.co</t>
  </si>
  <si>
    <t>T00018922</t>
  </si>
  <si>
    <t>OSCAR DAVID ACOSTA LOPERA</t>
  </si>
  <si>
    <t>T00028062</t>
  </si>
  <si>
    <t>T00034460</t>
  </si>
  <si>
    <t>RAUL ANDRES VARGAS RAMIREZ</t>
  </si>
  <si>
    <t>T00000052</t>
  </si>
  <si>
    <t>RAUL JOSE PADRON CARVAJAL</t>
  </si>
  <si>
    <t>rpadron@utb.edu.co</t>
  </si>
  <si>
    <t>T00084153</t>
  </si>
  <si>
    <t>RITA CECILIA DE LA HOZ DEL VILLAR</t>
  </si>
  <si>
    <t>T00000069</t>
  </si>
  <si>
    <t>ROLANDO MARIO ARIZA OLAYA</t>
  </si>
  <si>
    <t>rarizao@utb.edu.co</t>
  </si>
  <si>
    <t>T00079455</t>
  </si>
  <si>
    <t>ROSA ESTHER BARRETO OLIVEROS</t>
  </si>
  <si>
    <t>T00026962</t>
  </si>
  <si>
    <t>TATIANA TERESA TATIS CASTRO</t>
  </si>
  <si>
    <t>ttatis@utb.edu.co</t>
  </si>
  <si>
    <t>T00000231</t>
  </si>
  <si>
    <t>VERONICA TORDECILLA ACEVEDO</t>
  </si>
  <si>
    <t>T00057694</t>
  </si>
  <si>
    <t>VICTORIA CAROLINA GALINDO DIAGO</t>
  </si>
  <si>
    <t>T00040950</t>
  </si>
  <si>
    <t>YINA PAOLA CABARCAS MENA</t>
  </si>
  <si>
    <t>T00007989</t>
  </si>
  <si>
    <t>YULY PATRICIA FANG ALANDETTE</t>
  </si>
  <si>
    <t>yfang@utb.edu.co</t>
  </si>
  <si>
    <t>NAME SCOPUS</t>
  </si>
  <si>
    <t>ID SCOPUS</t>
  </si>
  <si>
    <t>Espinosa-Espinos, Aaron</t>
  </si>
  <si>
    <t>Baltar-Moreno, Adolfo</t>
  </si>
  <si>
    <t>Cárdenas Escobar, Alba Zulay</t>
  </si>
  <si>
    <t>CIENCIAS BÁSICAS</t>
  </si>
  <si>
    <t>Patiño, Alberto</t>
  </si>
  <si>
    <t>Abuchar-Curi, Alfredo Miguel</t>
  </si>
  <si>
    <t>Cantillo Orozco, Ana S.</t>
  </si>
  <si>
    <t>Marrugo, Andrés G.</t>
  </si>
  <si>
    <t>Palencia Díaz, Argemiro</t>
  </si>
  <si>
    <t>Guevara, Carlos R.Payares</t>
  </si>
  <si>
    <t>Díaz-Mendoza, Claudia</t>
  </si>
  <si>
    <t>CRISTINA  OSORIO DEL VALLE</t>
  </si>
  <si>
    <t>Osorio-Del-Valle, Cristina</t>
  </si>
  <si>
    <t>Toro-González, Daniel</t>
  </si>
  <si>
    <t>Sierra-Porta D.</t>
  </si>
  <si>
    <t>Fortich Pérez, David J.</t>
  </si>
  <si>
    <t>Castilla-Caballero, Deyler</t>
  </si>
  <si>
    <t>Rubiano-Labrador, Carolina</t>
  </si>
  <si>
    <t>Arrieta, O. E.W.</t>
  </si>
  <si>
    <t>Chavarro-Mesa, Edisson</t>
  </si>
  <si>
    <t>EDUARDO  GOMEZ VASQUEZ</t>
  </si>
  <si>
    <t>Gomez, Eduardo</t>
  </si>
  <si>
    <t>Puertas, Edwin</t>
  </si>
  <si>
    <t>Geney-Castro, Elías</t>
  </si>
  <si>
    <t>de la Ossa, Elsy Domínguez</t>
  </si>
  <si>
    <t>Rodríguez-Arias, Harold A.</t>
  </si>
  <si>
    <t>Altamar-Mercado, Hernando</t>
  </si>
  <si>
    <t>Ospina-Mateus, Holman</t>
  </si>
  <si>
    <t>Solano-Cahuana, Iris Laudith</t>
  </si>
  <si>
    <t>Serrano, Jairo E.</t>
  </si>
  <si>
    <t>Useche, J. F.</t>
  </si>
  <si>
    <t>Cabrera, Jairo</t>
  </si>
  <si>
    <t>Pérez-Morón, James</t>
  </si>
  <si>
    <t>Vásquez, Jenifer</t>
  </si>
  <si>
    <t>Acevedo, Jeovanny Muentes</t>
  </si>
  <si>
    <t>Duque, Jorge Eliecer</t>
  </si>
  <si>
    <t>Alvis-Arrieta, Jorge</t>
  </si>
  <si>
    <t>Del Rio Cortina, Jorge</t>
  </si>
  <si>
    <t>Muñiz-Olite, Jorge Luis</t>
  </si>
  <si>
    <t>Villalba-Acevedo, Jorge Luis</t>
  </si>
  <si>
    <t xml:space="preserve">JORGELINA CECILIA PASQUALINO </t>
  </si>
  <si>
    <t>Pasqualino, Jorgelina C.</t>
  </si>
  <si>
    <t>Villa, J. L.</t>
  </si>
  <si>
    <t>Martínez, Juan Carlos</t>
  </si>
  <si>
    <t>Gutiérrez-Ruiz, Karol Patricia</t>
  </si>
  <si>
    <t>Romero, Lenny A.</t>
  </si>
  <si>
    <t>Marrugo-Salas, Lina Margarita</t>
  </si>
  <si>
    <t>Arraut, Luis Carlos</t>
  </si>
  <si>
    <t>Díaz-Canedo, Luis C.</t>
  </si>
  <si>
    <t>Magre, Luz Alejandra</t>
  </si>
  <si>
    <t>Llorente, Marcos Ricardo Posada</t>
  </si>
  <si>
    <t>Medina, M. F.</t>
  </si>
  <si>
    <t>Arias Tapia, Mary Judith</t>
  </si>
  <si>
    <t>Maza-Chamorro, Mauro Antonio</t>
  </si>
  <si>
    <t>Garcés-Prettel, Miguel</t>
  </si>
  <si>
    <t>Guerrero, Milton</t>
  </si>
  <si>
    <t>Quintana, Moisés</t>
  </si>
  <si>
    <t>Martínez Palomino, Oriana Susana</t>
  </si>
  <si>
    <t>Acevedo-Patĩno, Oscar</t>
  </si>
  <si>
    <t>PABLO GUSTAVO SALOMO ABITBOL PINEIRO</t>
  </si>
  <si>
    <t>Vázquez-Miraz, Pedro</t>
  </si>
  <si>
    <t>Méndez-Anillo, Rafael D.</t>
  </si>
  <si>
    <t>Acevedo-Barrios, R. L.</t>
  </si>
  <si>
    <t>Villar-Salinas, Sergio</t>
  </si>
  <si>
    <t>Contreras-Ortiz, Sonia H.</t>
  </si>
  <si>
    <t>Jiménez-Castilla, Tania</t>
  </si>
  <si>
    <t>Cobos, Tania Lucía</t>
  </si>
  <si>
    <t>Ojeda-Caicedo, Vilma Viviana</t>
  </si>
  <si>
    <t>WILLIAM  ARELLANO CARTAGENA</t>
  </si>
  <si>
    <t>Arellano-Cartagena, William</t>
  </si>
  <si>
    <t>Solano-Correa, Yady Tatiana</t>
  </si>
  <si>
    <t>RENUNCIA 20 MARZO 2023</t>
  </si>
  <si>
    <t>CÁTEDRA NUEVO</t>
  </si>
  <si>
    <t>T00062921</t>
  </si>
  <si>
    <t>RAMOS</t>
  </si>
  <si>
    <t>MARRUGO</t>
  </si>
  <si>
    <t>VICTOR</t>
  </si>
  <si>
    <t>ELOY</t>
  </si>
  <si>
    <t>CC</t>
  </si>
  <si>
    <t>ARJONA (BOLIVAR)</t>
  </si>
  <si>
    <t>31-40</t>
  </si>
  <si>
    <t>M</t>
  </si>
  <si>
    <t>VICTORELOYRAMOS88@GMAIL.COM</t>
  </si>
  <si>
    <t>vramos@utb.edu.co</t>
  </si>
  <si>
    <t>ALAMEDA LA VICTORIA</t>
  </si>
  <si>
    <t>ALAMEDA LA VICTORIA SECTOR EL NOGAL - CALLE 20 #80B - 18</t>
  </si>
  <si>
    <t>CARTAGENA - BOLÍVAR</t>
  </si>
  <si>
    <t>N.A</t>
  </si>
  <si>
    <t>HORAS (PROFESORES DE CATEDRA)</t>
  </si>
  <si>
    <t>PRESENCIAL</t>
  </si>
  <si>
    <t>PREGRADO</t>
  </si>
  <si>
    <t>CÁTEDRA</t>
  </si>
  <si>
    <t>DOCENTE CATEDRA CAT 3 - (2019)</t>
  </si>
  <si>
    <t>-</t>
  </si>
  <si>
    <t>FACULTAD DE CIENCIAS BASICAS</t>
  </si>
  <si>
    <t>COOR. DE MATEMATICAS</t>
  </si>
  <si>
    <t>CBAS</t>
  </si>
  <si>
    <t>Magíster en ciencias Matemáticas</t>
  </si>
  <si>
    <t>Universidad Nacional de Colombia</t>
  </si>
  <si>
    <t>CERTIFICACIÓN INTERNACIONAL</t>
  </si>
  <si>
    <t>B2</t>
  </si>
  <si>
    <t>APTIS</t>
  </si>
  <si>
    <t>INGLÉS 8</t>
  </si>
  <si>
    <t>CONTACTO</t>
  </si>
  <si>
    <t>CARGO DE GESTIÓN</t>
  </si>
  <si>
    <t>OBSERVACIONES</t>
  </si>
  <si>
    <t>DECANO DE EDUCACIÓN</t>
  </si>
  <si>
    <t>SECRETARIO ACADÉMICO</t>
  </si>
  <si>
    <t>DECANO DE LA ESCUELA DE NEGOCIOS
DIRECTOR DE ADMINISTRACIÓN DE EMPRESAS (PROVISIONAL)</t>
  </si>
  <si>
    <t>SALIENTE</t>
  </si>
  <si>
    <t>ENTRANTE</t>
  </si>
  <si>
    <t>SECRETARIO ACADÉMICO DE DERECHO</t>
  </si>
  <si>
    <t>DECANA DE INGENIERÍA (E)
DIRECTORA DE INGENIERÍA BIOMEDICA</t>
  </si>
  <si>
    <t>SECRETARIA ACADÉMICA</t>
  </si>
  <si>
    <t>DECANA DE CIENCIAS SOCIALES Y HUMANIDADES</t>
  </si>
  <si>
    <t>MAYRA JISELA PRADA SANCHEZ</t>
  </si>
  <si>
    <t>mprada@utb.edu.co</t>
  </si>
  <si>
    <t>311311 6374</t>
  </si>
  <si>
    <t>DECANO DE PROGRAMAS VIRTUALES</t>
  </si>
  <si>
    <t>MARLON FARICK RINCON ALJURI</t>
  </si>
  <si>
    <t>maljuri@utb.edu.co</t>
  </si>
  <si>
    <t>DIRECTOR DEL CONSULTORIO JURÍDICO</t>
  </si>
  <si>
    <t>DECANO DE ARQUITECTURA 
DIRECTOR DE ARQUITECTURA</t>
  </si>
  <si>
    <t>FREDY JOSE FORTICH VASQUEZ</t>
  </si>
  <si>
    <t>ffortich@utb.edu.co</t>
  </si>
  <si>
    <t>DIRECTOR DEL LABORATORIO DE COMUNICACIONES</t>
  </si>
  <si>
    <t>DECANA IDEEAS 
DIRECTORA ECONOMÍA</t>
  </si>
  <si>
    <t>DIRECTOR DEL LABORATORIO DE CREATIVIDAD E INNOVACIÓN EL PATIO</t>
  </si>
  <si>
    <t>DECANA DE CIENCIAS BÁSICAS</t>
  </si>
  <si>
    <t>DIRECTOR DEL LABORATORIO DE DESARROLLO Y CULTURA L+ID</t>
  </si>
  <si>
    <t>DECANA DE DERECHO
DIRECTORA DE DERECHO</t>
  </si>
  <si>
    <t>DIRECTOR DE INVESTIGACIONES</t>
  </si>
  <si>
    <t>ERICKA MARIA DUNCAN ORTEGA</t>
  </si>
  <si>
    <t>eduncan@utb.edu.co</t>
  </si>
  <si>
    <t>DIRECTORA DE INTERNACIONALIZACIÓN</t>
  </si>
  <si>
    <t>COORDINACIÓN PROGRAMA ONDAS</t>
  </si>
  <si>
    <t>DIRECTORA DE INGENIERÍA QUÍMICA</t>
  </si>
  <si>
    <t>DIRECTOR DE POSGRADO</t>
  </si>
  <si>
    <t>DIRECTOR DE INGENIERÍA MECÁNICA Y MECATRÓNICA</t>
  </si>
  <si>
    <t>DIRECTOR DEL DOCTORADO EN INGENIERÍA
DIRECTOR DE LA MAESTRÍA EN INGENIERÍA</t>
  </si>
  <si>
    <t>SIN DEFINIR</t>
  </si>
  <si>
    <t>DIRECTOR DE FINANZAS Y NEGOCIOS INTERNACIONALES</t>
  </si>
  <si>
    <t>DIRECTOR DE INGENIERÍA NAVAL</t>
  </si>
  <si>
    <t>SECRETARIO ACADÉMICO
DIRECTORA DE CONTADURÍA PÚBLICA</t>
  </si>
  <si>
    <t>YARIDIS ISABEL CERVANTES ALVAREZ</t>
  </si>
  <si>
    <t>ycervantes@utb.edu.co</t>
  </si>
  <si>
    <t>DIRECTORA CENTRO DE IDIOMAS</t>
  </si>
  <si>
    <t>DIRECTOR DE INGENIERÍA CIVIL Y AMBIENTAL</t>
  </si>
  <si>
    <t>DIRECTORA DE PSICOLOGÍA</t>
  </si>
  <si>
    <t>DIRECTOR DE ELÉCTRICA Y ELECTRÓNICA</t>
  </si>
  <si>
    <t>DIRECTOR DE CIENCIA POLÍTICA Y RELACIONES INTERNACIONALES</t>
  </si>
  <si>
    <t>DIRECTOR DE INGENIERÍA DE SISTEMAS</t>
  </si>
  <si>
    <t>DIRECTOR DE INGENIERÍA INDUSTRIAL</t>
  </si>
  <si>
    <t>DIRECTORA DE COMUNICACIÓN SOCIAL</t>
  </si>
  <si>
    <t>COORDINADOR DE FÍSICA</t>
  </si>
  <si>
    <t>COORDINADOR DE ESTADÍSTICA</t>
  </si>
  <si>
    <t>COORDINADOR DE MATEMÁTICAS</t>
  </si>
  <si>
    <t>COORDINADORA DE QUÍMICA Y BIOLOGÍA</t>
  </si>
  <si>
    <t>COORDINADORA DE HUMANIDADES</t>
  </si>
  <si>
    <t>DIRECTOR DE ECONOMÍA</t>
  </si>
  <si>
    <t>JOEL ALEXANDER SAMPER LOPEZ</t>
  </si>
  <si>
    <t>FABIAN GULLERMO AMAYA VALDIVIESO</t>
  </si>
  <si>
    <t>T00085422</t>
  </si>
  <si>
    <t>LIBARY LUZ MANJARRES MOLINA</t>
  </si>
  <si>
    <t>T00037937</t>
  </si>
  <si>
    <t>NATALIE MORALES LONDOÑO</t>
  </si>
  <si>
    <t>T00085821</t>
  </si>
  <si>
    <t>YULANDERSON SALGUERO RODRIGUEZ</t>
  </si>
  <si>
    <t>https://www.scopus.com/authid/detail.uri?authorId=57195913974</t>
  </si>
  <si>
    <t>https://www.scopus.com/authid/detail.uri?authorId=57202159706</t>
  </si>
  <si>
    <t>Salguero-Rodríguez, Yulánderson</t>
  </si>
  <si>
    <t>Morales-Londoño, Natalie</t>
  </si>
  <si>
    <t>Hurtado, Julio Seferino</t>
  </si>
  <si>
    <t>Gonzalez-Sierra, Mauro A.</t>
  </si>
  <si>
    <t>https://www.scopus.com/authid/detail.uri?authorId=58618811100</t>
  </si>
  <si>
    <t>Ariza-Rua, Danilo Lusbin</t>
  </si>
  <si>
    <t>Olmos, Marelbi</t>
  </si>
  <si>
    <t>Fajardo, Juan Gabriel</t>
  </si>
  <si>
    <t>Aleán–Romero, Andrés</t>
  </si>
  <si>
    <t>https://scopus.utb.elogim.com/authid/detail.uri?authorId=58954857900&amp;origin=recordpage</t>
  </si>
  <si>
    <t>https://www.scopus.com/authid/detail.uri?authorId=58145499200</t>
  </si>
  <si>
    <t>https://www.scopus.com/authid/detail.uri?authorId=57117284600</t>
  </si>
  <si>
    <t xml:space="preserve">CESAR AUGUSTO VILORIA NUÑEZ </t>
  </si>
  <si>
    <t>BEATRIZ ELENA JIMENEZ CHARRIS</t>
  </si>
  <si>
    <t>T00076408</t>
  </si>
  <si>
    <t>T00090440</t>
  </si>
  <si>
    <t>T00090593</t>
  </si>
  <si>
    <t>ESCUELA</t>
  </si>
  <si>
    <t>ESCUELA DE NEGOCIOS, LEYES Y SOCIEDAD</t>
  </si>
  <si>
    <t>ESCUELA DE TRANSFORMACIÓN DIGITAL</t>
  </si>
  <si>
    <t>ESCUELA DE INGENIERÍA, ARQUITECTURA Y DISEÑO</t>
  </si>
  <si>
    <t>DIRECCIÓN DE HUMANIDADES</t>
  </si>
  <si>
    <t>https://www.scopus.com/authid/detail.uri?authorId=35788581800</t>
  </si>
  <si>
    <t>Viloria-Nuñez, Cesar</t>
  </si>
  <si>
    <t>ENRIQUE PEREIRA BATISTA</t>
  </si>
  <si>
    <t>https://www.scopus.com/authid/detail.uri?authorId=57189892062</t>
  </si>
  <si>
    <t>Pereira Batista, Enrique</t>
  </si>
  <si>
    <t>GIANNINA GUERRERO ARRIETA</t>
  </si>
  <si>
    <t>ISAAC ZUÑIGA SILGADO</t>
  </si>
  <si>
    <t>STEFANIA ARIAS CIFUENTES</t>
  </si>
  <si>
    <t>AARÓN EDUARDO ESPINOSA ESPINOSA</t>
  </si>
  <si>
    <t>https://www.scopus.com/authid/detail.uri?authorId=58917134900&amp;origin=recordpage</t>
  </si>
  <si>
    <t>Piedrahita, Jefferson Marulanda</t>
  </si>
  <si>
    <t>https://www.scopus.com/authid/detail.uri?authorId=59987226300&amp;origin=recordpage</t>
  </si>
  <si>
    <t>Arias-Cifuentes, Stefania</t>
  </si>
  <si>
    <t>https://www.scopus.com/authid/detail.uri?authorId=57219696066&amp;origin=recordpage</t>
  </si>
  <si>
    <t>https://www.scopus.com/authid/detail.uri?authorId=58523088300&amp;origin=recordpage</t>
  </si>
  <si>
    <t>Soto-Acevedo, Misorly</t>
  </si>
  <si>
    <t>Henriquez, Yuranis</t>
  </si>
  <si>
    <t>T00096198</t>
  </si>
  <si>
    <t>T00096199</t>
  </si>
  <si>
    <t>T00096200</t>
  </si>
  <si>
    <t>T00020572</t>
  </si>
  <si>
    <t>T00096201</t>
  </si>
  <si>
    <t>T00096202</t>
  </si>
  <si>
    <t>T00063166</t>
  </si>
  <si>
    <t>T00096203</t>
  </si>
  <si>
    <t>T00031744</t>
  </si>
  <si>
    <t>T00096204</t>
  </si>
  <si>
    <t>LUZ MARINA GÓMEZ HERNÁNDEZ</t>
  </si>
  <si>
    <t>EFRAÍN ANDRÉS RODRÍGUEZ GASCA</t>
  </si>
  <si>
    <t>LUIS ÁNGEL PORTO HERNÁNDEZ</t>
  </si>
  <si>
    <t>AMPARO JUDITH BRAVO HERNÁNDEZ</t>
  </si>
  <si>
    <t>KELLY SUSANA TARRÁ PARDO</t>
  </si>
  <si>
    <t>GUSTAVO DE JESÚS DONADO AHUMADA</t>
  </si>
  <si>
    <t>LIEN NEIL TEJEDA LÓPEZ</t>
  </si>
  <si>
    <t>CARLOS MARTÍN FERREIRA VANEGAS</t>
  </si>
  <si>
    <t>RICHARD GERALD RONDON</t>
  </si>
  <si>
    <t>JEFFREY JANER QUIÑONES</t>
  </si>
  <si>
    <t>https://www.scopus.com/authid/detail.uri?authorId=55881930700&amp;origin=resultslist</t>
  </si>
  <si>
    <t>Gerald, Richard Fitz</t>
  </si>
  <si>
    <t>Gómez-Hernández, Luz Marina</t>
  </si>
  <si>
    <t>Porto-Hernández, Luis Ángel</t>
  </si>
  <si>
    <t>https://www.scopus.com/authid/detail.uri?authorId=59760252900&amp;origin=resultslist</t>
  </si>
  <si>
    <t>https://www.scopus.com/authid/detail.uri?authorId=57197028938&amp;origin=resultslist</t>
  </si>
  <si>
    <t>Rodriguez, Efrain</t>
  </si>
  <si>
    <t>https://www.scopus.com/authid/detail.uri?authorId=57804909800&amp;origin=resultslist</t>
  </si>
  <si>
    <t>https://www.scopus.com/authid/detail.uri?authorId=57225191597&amp;origin=resultslist</t>
  </si>
  <si>
    <t>Hernández, Amparo Judith Bravo</t>
  </si>
  <si>
    <t>https://www.scopus.com/authid/detail.uri?authorId=57811348000&amp;origin=recordpage</t>
  </si>
  <si>
    <t>Ferreira-Vanegas, Carlos M.</t>
  </si>
  <si>
    <t>Abitbol, Pablo</t>
  </si>
  <si>
    <t>H5</t>
  </si>
  <si>
    <t xml:space="preserve">&gt;5 y ≤ 9 </t>
  </si>
  <si>
    <t>&gt;9 y &lt;12</t>
  </si>
  <si>
    <t>≥12</t>
  </si>
  <si>
    <t>PROFESOR</t>
  </si>
  <si>
    <t>CANTIDAD DE PROFESOR</t>
  </si>
  <si>
    <t>Vargas, Raúl</t>
  </si>
  <si>
    <t>https://www.scopus.com/authid/detail.uri?authorId=57824284000</t>
  </si>
  <si>
    <t>Mercado Vega, Armando José</t>
  </si>
  <si>
    <t>https://www.scopus.com/authid/detail.uri?authorId=59269721500</t>
  </si>
  <si>
    <t>Barreto-Maya, Ángela Patricia</t>
  </si>
  <si>
    <t>https://www.scopus.com/authid/detail.uri?authorId=59325343900&amp;origin=resultslist</t>
  </si>
  <si>
    <t>Marbello-Peña, Humberto</t>
  </si>
  <si>
    <t>https://www.scopus.com/authid/detail.uri?authorId=60219600400&amp;origin=resultslist</t>
  </si>
  <si>
    <t>Franco, Graciela</t>
  </si>
  <si>
    <t>Tejeda-Lopez, Lien N.</t>
  </si>
  <si>
    <t>https://www.scopus.com/authid/detail.uri?authorId=60026192200</t>
  </si>
  <si>
    <t>Mendoza Díaz, Armando</t>
  </si>
  <si>
    <t>https://www.scopus.com/authid/detail.uri?authorId=57931099400</t>
  </si>
  <si>
    <t>Arrieta, Fabian Alfonso Gazabon</t>
  </si>
  <si>
    <t>https://www.scopus.com/authid/detail.uri?authorId=57202852177</t>
  </si>
  <si>
    <t>Cabarcas-Mena, Yina P.</t>
  </si>
  <si>
    <t>https://www.scopus.com/authid/detail.uri?authorId=57421989500</t>
  </si>
  <si>
    <t>https://www.scopus.com/authid/detail.uri?authorId=58868256900</t>
  </si>
  <si>
    <t>https://www.scopus.com/authid/detail.uri?authorId=60157655200</t>
  </si>
  <si>
    <t>Zúñiga, Isaac</t>
  </si>
  <si>
    <t>https://www.scopus.com/authid/detail.uri?authorId=60514611700</t>
  </si>
  <si>
    <t>Gómez-Mora,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</si>
</sst>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32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theme="1"/>
      <name val="Arial"/>
      <family val="2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8"/>
      <color theme="0"/>
      <name val="Calibri"/>
      <family val="2"/>
    </font>
    <font>
      <sz val="8"/>
      <color rgb="FFFF0000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0">
    <xf numFmtId="0" fontId="0" fillId="0" borderId="0"/>
    <xf numFmtId="0" fontId="3" fillId="0" borderId="1" applyNumberFormat="0" applyFill="0" applyBorder="0" applyAlignment="0" applyProtection="0"/>
    <xf numFmtId="9" fontId="6" fillId="0" borderId="0" applyFont="0" applyFill="0" applyBorder="0" applyAlignment="0" applyProtection="0"/>
    <xf numFmtId="0" fontId="9" fillId="0" borderId="1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7" fillId="6" borderId="5" applyNumberFormat="0" applyAlignment="0" applyProtection="0"/>
    <xf numFmtId="0" fontId="18" fillId="7" borderId="6" applyNumberFormat="0" applyAlignment="0" applyProtection="0"/>
    <xf numFmtId="0" fontId="19" fillId="7" borderId="5" applyNumberFormat="0" applyAlignment="0" applyProtection="0"/>
    <xf numFmtId="0" fontId="20" fillId="0" borderId="7" applyNumberFormat="0" applyFill="0" applyAlignment="0" applyProtection="0"/>
    <xf numFmtId="0" fontId="21" fillId="8" borderId="8" applyNumberFormat="0" applyAlignment="0" applyProtection="0"/>
    <xf numFmtId="0" fontId="24" fillId="0" borderId="10" applyNumberFormat="0" applyFill="0" applyAlignment="0" applyProtection="0"/>
    <xf numFmtId="0" fontId="6" fillId="0" borderId="1"/>
    <xf numFmtId="0" fontId="4" fillId="0" borderId="1" applyNumberFormat="0" applyFill="0" applyBorder="0" applyAlignment="0" applyProtection="0"/>
    <xf numFmtId="0" fontId="2" fillId="0" borderId="1"/>
    <xf numFmtId="0" fontId="10" fillId="0" borderId="1" applyNumberFormat="0" applyFill="0" applyBorder="0" applyAlignment="0" applyProtection="0"/>
    <xf numFmtId="0" fontId="13" fillId="0" borderId="1" applyNumberFormat="0" applyFill="0" applyBorder="0" applyAlignment="0" applyProtection="0"/>
    <xf numFmtId="0" fontId="14" fillId="3" borderId="1" applyNumberFormat="0" applyBorder="0" applyAlignment="0" applyProtection="0"/>
    <xf numFmtId="0" fontId="15" fillId="4" borderId="1" applyNumberFormat="0" applyBorder="0" applyAlignment="0" applyProtection="0"/>
    <xf numFmtId="0" fontId="16" fillId="5" borderId="1" applyNumberFormat="0" applyBorder="0" applyAlignment="0" applyProtection="0"/>
    <xf numFmtId="0" fontId="22" fillId="0" borderId="1" applyNumberFormat="0" applyFill="0" applyBorder="0" applyAlignment="0" applyProtection="0"/>
    <xf numFmtId="0" fontId="2" fillId="9" borderId="9" applyNumberFormat="0" applyFont="0" applyAlignment="0" applyProtection="0"/>
    <xf numFmtId="0" fontId="23" fillId="0" borderId="1" applyNumberFormat="0" applyFill="0" applyBorder="0" applyAlignment="0" applyProtection="0"/>
    <xf numFmtId="0" fontId="25" fillId="10" borderId="1" applyNumberFormat="0" applyBorder="0" applyAlignment="0" applyProtection="0"/>
    <xf numFmtId="0" fontId="2" fillId="11" borderId="1" applyNumberFormat="0" applyBorder="0" applyAlignment="0" applyProtection="0"/>
    <xf numFmtId="0" fontId="2" fillId="12" borderId="1" applyNumberFormat="0" applyBorder="0" applyAlignment="0" applyProtection="0"/>
    <xf numFmtId="0" fontId="2" fillId="13" borderId="1" applyNumberFormat="0" applyBorder="0" applyAlignment="0" applyProtection="0"/>
    <xf numFmtId="0" fontId="25" fillId="14" borderId="1" applyNumberFormat="0" applyBorder="0" applyAlignment="0" applyProtection="0"/>
    <xf numFmtId="0" fontId="2" fillId="15" borderId="1" applyNumberFormat="0" applyBorder="0" applyAlignment="0" applyProtection="0"/>
    <xf numFmtId="0" fontId="2" fillId="16" borderId="1" applyNumberFormat="0" applyBorder="0" applyAlignment="0" applyProtection="0"/>
    <xf numFmtId="0" fontId="2" fillId="17" borderId="1" applyNumberFormat="0" applyBorder="0" applyAlignment="0" applyProtection="0"/>
    <xf numFmtId="0" fontId="25" fillId="18" borderId="1" applyNumberFormat="0" applyBorder="0" applyAlignment="0" applyProtection="0"/>
    <xf numFmtId="0" fontId="2" fillId="19" borderId="1" applyNumberFormat="0" applyBorder="0" applyAlignment="0" applyProtection="0"/>
    <xf numFmtId="0" fontId="2" fillId="20" borderId="1" applyNumberFormat="0" applyBorder="0" applyAlignment="0" applyProtection="0"/>
    <xf numFmtId="0" fontId="2" fillId="21" borderId="1" applyNumberFormat="0" applyBorder="0" applyAlignment="0" applyProtection="0"/>
    <xf numFmtId="0" fontId="25" fillId="22" borderId="1" applyNumberFormat="0" applyBorder="0" applyAlignment="0" applyProtection="0"/>
    <xf numFmtId="0" fontId="2" fillId="23" borderId="1" applyNumberFormat="0" applyBorder="0" applyAlignment="0" applyProtection="0"/>
    <xf numFmtId="0" fontId="2" fillId="24" borderId="1" applyNumberFormat="0" applyBorder="0" applyAlignment="0" applyProtection="0"/>
    <xf numFmtId="0" fontId="2" fillId="25" borderId="1" applyNumberFormat="0" applyBorder="0" applyAlignment="0" applyProtection="0"/>
    <xf numFmtId="0" fontId="25" fillId="26" borderId="1" applyNumberFormat="0" applyBorder="0" applyAlignment="0" applyProtection="0"/>
    <xf numFmtId="0" fontId="2" fillId="27" borderId="1" applyNumberFormat="0" applyBorder="0" applyAlignment="0" applyProtection="0"/>
    <xf numFmtId="0" fontId="2" fillId="28" borderId="1" applyNumberFormat="0" applyBorder="0" applyAlignment="0" applyProtection="0"/>
    <xf numFmtId="0" fontId="2" fillId="29" borderId="1" applyNumberFormat="0" applyBorder="0" applyAlignment="0" applyProtection="0"/>
    <xf numFmtId="0" fontId="25" fillId="30" borderId="1" applyNumberFormat="0" applyBorder="0" applyAlignment="0" applyProtection="0"/>
    <xf numFmtId="0" fontId="2" fillId="31" borderId="1" applyNumberFormat="0" applyBorder="0" applyAlignment="0" applyProtection="0"/>
    <xf numFmtId="0" fontId="2" fillId="32" borderId="1" applyNumberFormat="0" applyBorder="0" applyAlignment="0" applyProtection="0"/>
    <xf numFmtId="0" fontId="2" fillId="33" borderId="1" applyNumberFormat="0" applyBorder="0" applyAlignment="0" applyProtection="0"/>
    <xf numFmtId="164" fontId="26" fillId="0" borderId="0" applyFont="0" applyFill="0" applyBorder="0" applyAlignment="0" applyProtection="0"/>
    <xf numFmtId="0" fontId="1" fillId="0" borderId="1"/>
  </cellStyleXfs>
  <cellXfs count="100">
    <xf numFmtId="0" fontId="0" fillId="0" borderId="0" xfId="0"/>
    <xf numFmtId="0" fontId="5" fillId="0" borderId="0" xfId="0" applyFont="1"/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1" fontId="7" fillId="0" borderId="1" xfId="0" applyNumberFormat="1" applyFont="1" applyBorder="1" applyAlignment="1" applyProtection="1">
      <alignment horizontal="center" vertical="center"/>
      <protection locked="0"/>
    </xf>
    <xf numFmtId="1" fontId="7" fillId="0" borderId="1" xfId="0" applyNumberFormat="1" applyFont="1" applyBorder="1" applyAlignment="1" applyProtection="1">
      <alignment horizontal="center" vertical="center"/>
      <protection hidden="1"/>
    </xf>
    <xf numFmtId="1" fontId="7" fillId="0" borderId="1" xfId="0" applyNumberFormat="1" applyFont="1" applyBorder="1" applyAlignment="1" applyProtection="1">
      <alignment horizontal="left" vertical="center"/>
      <protection locked="0"/>
    </xf>
    <xf numFmtId="14" fontId="7" fillId="0" borderId="1" xfId="0" applyNumberFormat="1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36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Protection="1">
      <protection locked="0"/>
    </xf>
    <xf numFmtId="0" fontId="27" fillId="0" borderId="0" xfId="0" applyFont="1" applyAlignment="1">
      <alignment horizontal="center" vertical="center" wrapText="1"/>
    </xf>
    <xf numFmtId="0" fontId="27" fillId="39" borderId="0" xfId="0" applyFont="1" applyFill="1" applyAlignment="1">
      <alignment horizontal="center" vertical="center" wrapText="1"/>
    </xf>
    <xf numFmtId="0" fontId="27" fillId="0" borderId="0" xfId="0" applyFont="1"/>
    <xf numFmtId="0" fontId="27" fillId="0" borderId="0" xfId="0" applyFont="1" applyAlignment="1">
      <alignment horizontal="left"/>
    </xf>
    <xf numFmtId="0" fontId="28" fillId="37" borderId="11" xfId="0" applyFont="1" applyFill="1" applyBorder="1" applyAlignment="1">
      <alignment horizontal="center" vertical="center" wrapText="1"/>
    </xf>
    <xf numFmtId="0" fontId="27" fillId="38" borderId="0" xfId="0" applyFont="1" applyFill="1"/>
    <xf numFmtId="0" fontId="27" fillId="38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14" fontId="7" fillId="40" borderId="1" xfId="0" applyNumberFormat="1" applyFont="1" applyFill="1" applyBorder="1" applyAlignment="1" applyProtection="1">
      <alignment horizontal="center" vertical="center"/>
      <protection locked="0"/>
    </xf>
    <xf numFmtId="1" fontId="7" fillId="34" borderId="1" xfId="0" applyNumberFormat="1" applyFont="1" applyFill="1" applyBorder="1" applyAlignment="1" applyProtection="1">
      <alignment horizontal="center" vertical="center"/>
      <protection locked="0"/>
    </xf>
    <xf numFmtId="1" fontId="7" fillId="34" borderId="1" xfId="0" applyNumberFormat="1" applyFont="1" applyFill="1" applyBorder="1" applyAlignment="1" applyProtection="1">
      <alignment horizontal="left" vertical="center"/>
      <protection locked="0"/>
    </xf>
    <xf numFmtId="0" fontId="7" fillId="36" borderId="1" xfId="0" applyFont="1" applyFill="1" applyBorder="1" applyAlignment="1" applyProtection="1">
      <alignment horizontal="left" vertical="center"/>
      <protection locked="0"/>
    </xf>
    <xf numFmtId="1" fontId="7" fillId="43" borderId="1" xfId="0" applyNumberFormat="1" applyFont="1" applyFill="1" applyBorder="1" applyAlignment="1" applyProtection="1">
      <alignment horizontal="center" vertical="center"/>
      <protection locked="0"/>
    </xf>
    <xf numFmtId="1" fontId="7" fillId="43" borderId="1" xfId="0" applyNumberFormat="1" applyFont="1" applyFill="1" applyBorder="1" applyAlignment="1" applyProtection="1">
      <alignment horizontal="left" vertical="center"/>
      <protection locked="0"/>
    </xf>
    <xf numFmtId="14" fontId="7" fillId="43" borderId="1" xfId="0" applyNumberFormat="1" applyFont="1" applyFill="1" applyBorder="1" applyAlignment="1" applyProtection="1">
      <alignment horizontal="center" vertical="center"/>
      <protection locked="0"/>
    </xf>
    <xf numFmtId="1" fontId="7" fillId="43" borderId="1" xfId="0" applyNumberFormat="1" applyFont="1" applyFill="1" applyBorder="1" applyAlignment="1" applyProtection="1">
      <alignment vertical="center"/>
      <protection locked="0"/>
    </xf>
    <xf numFmtId="1" fontId="7" fillId="34" borderId="1" xfId="48" applyNumberFormat="1" applyFont="1" applyFill="1" applyBorder="1" applyAlignment="1" applyProtection="1">
      <alignment horizontal="center" vertical="center"/>
      <protection locked="0"/>
    </xf>
    <xf numFmtId="14" fontId="7" fillId="36" borderId="1" xfId="0" applyNumberFormat="1" applyFont="1" applyFill="1" applyBorder="1" applyAlignment="1" applyProtection="1">
      <alignment horizontal="center" vertical="center"/>
      <protection locked="0"/>
    </xf>
    <xf numFmtId="0" fontId="7" fillId="42" borderId="1" xfId="0" applyFont="1" applyFill="1" applyBorder="1" applyAlignment="1" applyProtection="1">
      <alignment vertical="center"/>
      <protection locked="0"/>
    </xf>
    <xf numFmtId="0" fontId="7" fillId="44" borderId="1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4" fontId="7" fillId="2" borderId="1" xfId="0" applyNumberFormat="1" applyFont="1" applyFill="1" applyBorder="1" applyAlignment="1" applyProtection="1">
      <alignment horizontal="center" vertical="center"/>
      <protection locked="0"/>
    </xf>
    <xf numFmtId="1" fontId="7" fillId="41" borderId="1" xfId="0" applyNumberFormat="1" applyFont="1" applyFill="1" applyBorder="1" applyAlignment="1" applyProtection="1">
      <alignment horizontal="center" vertical="center"/>
      <protection locked="0"/>
    </xf>
    <xf numFmtId="1" fontId="7" fillId="41" borderId="16" xfId="0" applyNumberFormat="1" applyFont="1" applyFill="1" applyBorder="1" applyAlignment="1" applyProtection="1">
      <alignment horizontal="center" vertical="center"/>
      <protection locked="0"/>
    </xf>
    <xf numFmtId="1" fontId="7" fillId="41" borderId="15" xfId="0" applyNumberFormat="1" applyFont="1" applyFill="1" applyBorder="1" applyAlignment="1" applyProtection="1">
      <alignment horizontal="center" vertical="center"/>
      <protection locked="0"/>
    </xf>
    <xf numFmtId="14" fontId="7" fillId="40" borderId="15" xfId="0" applyNumberFormat="1" applyFont="1" applyFill="1" applyBorder="1" applyAlignment="1" applyProtection="1">
      <alignment horizontal="center" vertical="center"/>
      <protection locked="0"/>
    </xf>
    <xf numFmtId="14" fontId="7" fillId="40" borderId="16" xfId="0" applyNumberFormat="1" applyFont="1" applyFill="1" applyBorder="1" applyAlignment="1" applyProtection="1">
      <alignment horizontal="center" vertical="center"/>
      <protection locked="0"/>
    </xf>
    <xf numFmtId="0" fontId="7" fillId="36" borderId="15" xfId="0" applyFont="1" applyFill="1" applyBorder="1" applyAlignment="1" applyProtection="1">
      <alignment horizontal="left" vertical="center"/>
      <protection locked="0"/>
    </xf>
    <xf numFmtId="0" fontId="7" fillId="36" borderId="16" xfId="0" applyFont="1" applyFill="1" applyBorder="1" applyAlignment="1" applyProtection="1">
      <alignment horizontal="left" vertical="center"/>
      <protection locked="0"/>
    </xf>
    <xf numFmtId="165" fontId="7" fillId="34" borderId="16" xfId="48" applyNumberFormat="1" applyFont="1" applyFill="1" applyBorder="1" applyAlignment="1" applyProtection="1">
      <alignment horizontal="center" vertical="center"/>
      <protection locked="0"/>
    </xf>
    <xf numFmtId="1" fontId="7" fillId="34" borderId="15" xfId="0" applyNumberFormat="1" applyFont="1" applyFill="1" applyBorder="1" applyAlignment="1" applyProtection="1">
      <alignment horizontal="center" vertical="center"/>
      <protection locked="0"/>
    </xf>
    <xf numFmtId="0" fontId="7" fillId="36" borderId="16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left" vertical="center"/>
      <protection locked="0"/>
    </xf>
    <xf numFmtId="22" fontId="7" fillId="2" borderId="16" xfId="0" applyNumberFormat="1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left" vertical="center"/>
      <protection hidden="1"/>
    </xf>
    <xf numFmtId="0" fontId="7" fillId="0" borderId="15" xfId="0" applyFont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8" fillId="37" borderId="12" xfId="0" applyFont="1" applyFill="1" applyBorder="1" applyAlignment="1">
      <alignment horizontal="center" vertical="center"/>
    </xf>
    <xf numFmtId="0" fontId="8" fillId="37" borderId="13" xfId="0" applyFont="1" applyFill="1" applyBorder="1" applyAlignment="1">
      <alignment horizontal="center" vertical="center"/>
    </xf>
    <xf numFmtId="0" fontId="8" fillId="37" borderId="14" xfId="0" applyFont="1" applyFill="1" applyBorder="1" applyAlignment="1">
      <alignment horizontal="center" vertical="center"/>
    </xf>
    <xf numFmtId="0" fontId="5" fillId="46" borderId="0" xfId="0" applyFont="1" applyFill="1" applyAlignment="1">
      <alignment vertical="center"/>
    </xf>
    <xf numFmtId="0" fontId="5" fillId="46" borderId="0" xfId="0" applyFont="1" applyFill="1" applyAlignment="1">
      <alignment horizontal="center" vertical="center"/>
    </xf>
    <xf numFmtId="0" fontId="5" fillId="46" borderId="0" xfId="0" applyFont="1" applyFill="1" applyAlignment="1">
      <alignment vertical="center" wrapText="1"/>
    </xf>
    <xf numFmtId="0" fontId="5" fillId="45" borderId="12" xfId="0" applyFont="1" applyFill="1" applyBorder="1"/>
    <xf numFmtId="0" fontId="5" fillId="45" borderId="13" xfId="0" applyFont="1" applyFill="1" applyBorder="1"/>
    <xf numFmtId="0" fontId="5" fillId="45" borderId="13" xfId="0" applyFont="1" applyFill="1" applyBorder="1" applyAlignment="1">
      <alignment horizontal="center"/>
    </xf>
    <xf numFmtId="0" fontId="5" fillId="45" borderId="14" xfId="0" applyFont="1" applyFill="1" applyBorder="1"/>
    <xf numFmtId="0" fontId="5" fillId="46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45" borderId="12" xfId="0" applyFont="1" applyFill="1" applyBorder="1" applyAlignment="1">
      <alignment vertical="center"/>
    </xf>
    <xf numFmtId="0" fontId="5" fillId="45" borderId="13" xfId="0" applyFont="1" applyFill="1" applyBorder="1" applyAlignment="1">
      <alignment vertical="center"/>
    </xf>
    <xf numFmtId="0" fontId="29" fillId="45" borderId="0" xfId="0" applyFont="1" applyFill="1" applyAlignment="1">
      <alignment vertical="center"/>
    </xf>
    <xf numFmtId="0" fontId="29" fillId="45" borderId="0" xfId="0" applyFont="1" applyFill="1" applyAlignment="1">
      <alignment horizontal="center" vertical="center"/>
    </xf>
    <xf numFmtId="0" fontId="29" fillId="45" borderId="0" xfId="0" applyFont="1" applyFill="1" applyAlignment="1">
      <alignment horizontal="left" vertical="center"/>
    </xf>
    <xf numFmtId="22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35" borderId="15" xfId="0" applyFont="1" applyFill="1" applyBorder="1" applyAlignment="1" applyProtection="1">
      <alignment horizontal="left" vertical="center"/>
      <protection locked="0"/>
    </xf>
    <xf numFmtId="0" fontId="7" fillId="35" borderId="1" xfId="0" applyFont="1" applyFill="1" applyBorder="1" applyAlignment="1" applyProtection="1">
      <alignment horizontal="left" vertical="center"/>
      <protection locked="0"/>
    </xf>
    <xf numFmtId="0" fontId="7" fillId="35" borderId="1" xfId="0" applyFont="1" applyFill="1" applyBorder="1" applyAlignment="1" applyProtection="1">
      <alignment vertical="center"/>
      <protection locked="0"/>
    </xf>
    <xf numFmtId="0" fontId="7" fillId="35" borderId="16" xfId="0" applyFont="1" applyFill="1" applyBorder="1" applyAlignment="1" applyProtection="1">
      <alignment horizontal="center" vertical="center"/>
      <protection locked="0"/>
    </xf>
    <xf numFmtId="14" fontId="7" fillId="35" borderId="1" xfId="0" applyNumberFormat="1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Protection="1">
      <protection locked="0"/>
    </xf>
    <xf numFmtId="0" fontId="7" fillId="36" borderId="1" xfId="0" applyFont="1" applyFill="1" applyBorder="1" applyAlignment="1" applyProtection="1">
      <alignment horizontal="center" vertical="center" wrapText="1"/>
      <protection locked="0"/>
    </xf>
    <xf numFmtId="2" fontId="7" fillId="45" borderId="1" xfId="0" applyNumberFormat="1" applyFont="1" applyFill="1" applyBorder="1" applyAlignment="1" applyProtection="1">
      <alignment horizontal="center" vertical="center"/>
      <protection locked="0"/>
    </xf>
    <xf numFmtId="9" fontId="7" fillId="45" borderId="1" xfId="2" applyFont="1" applyFill="1" applyBorder="1" applyAlignment="1" applyProtection="1">
      <alignment horizontal="center" vertical="center"/>
      <protection locked="0"/>
    </xf>
    <xf numFmtId="2" fontId="7" fillId="45" borderId="1" xfId="2" applyNumberFormat="1" applyFont="1" applyFill="1" applyBorder="1" applyAlignment="1" applyProtection="1">
      <alignment horizontal="center" vertical="center"/>
      <protection locked="0"/>
    </xf>
    <xf numFmtId="1" fontId="7" fillId="43" borderId="16" xfId="0" applyNumberFormat="1" applyFont="1" applyFill="1" applyBorder="1" applyAlignment="1" applyProtection="1">
      <alignment horizontal="center" vertical="center"/>
      <protection locked="0"/>
    </xf>
    <xf numFmtId="1" fontId="7" fillId="43" borderId="15" xfId="0" applyNumberFormat="1" applyFont="1" applyFill="1" applyBorder="1" applyAlignment="1" applyProtection="1">
      <alignment horizontal="center" vertical="center"/>
      <protection locked="0"/>
    </xf>
    <xf numFmtId="14" fontId="7" fillId="43" borderId="1" xfId="0" applyNumberFormat="1" applyFont="1" applyFill="1" applyBorder="1" applyAlignment="1" applyProtection="1">
      <alignment horizontal="left" vertical="center"/>
      <protection locked="0"/>
    </xf>
    <xf numFmtId="14" fontId="7" fillId="36" borderId="1" xfId="0" applyNumberFormat="1" applyFont="1" applyFill="1" applyBorder="1" applyAlignment="1" applyProtection="1">
      <alignment vertical="center"/>
      <protection locked="0"/>
    </xf>
    <xf numFmtId="0" fontId="6" fillId="0" borderId="0" xfId="0" applyFont="1"/>
    <xf numFmtId="0" fontId="0" fillId="0" borderId="17" xfId="0" applyBorder="1"/>
    <xf numFmtId="0" fontId="6" fillId="0" borderId="17" xfId="0" applyFont="1" applyBorder="1"/>
    <xf numFmtId="0" fontId="30" fillId="47" borderId="17" xfId="0" applyFont="1" applyFill="1" applyBorder="1" applyAlignment="1">
      <alignment horizontal="center"/>
    </xf>
    <xf numFmtId="0" fontId="30" fillId="37" borderId="17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4" fillId="0" borderId="17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47" borderId="18" xfId="0" applyFont="1" applyFill="1" applyBorder="1" applyAlignment="1">
      <alignment horizontal="center"/>
    </xf>
    <xf numFmtId="0" fontId="30" fillId="37" borderId="18" xfId="0" applyFont="1" applyFill="1" applyBorder="1" applyAlignment="1">
      <alignment horizontal="center"/>
    </xf>
    <xf numFmtId="0" fontId="4" fillId="0" borderId="17" xfId="1" applyFont="1" applyBorder="1" applyAlignment="1">
      <alignment horizontal="center"/>
    </xf>
    <xf numFmtId="0" fontId="9" fillId="0" borderId="17" xfId="0" applyFont="1" applyBorder="1"/>
    <xf numFmtId="0" fontId="9" fillId="0" borderId="1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/>
    </xf>
    <xf numFmtId="0" fontId="3" fillId="0" borderId="17" xfId="1" applyBorder="1" applyAlignment="1">
      <alignment horizontal="center"/>
    </xf>
  </cellXfs>
  <cellStyles count="50">
    <cellStyle name="20% - Énfasis1 2" xfId="25" xr:uid="{1273FC41-BB97-4751-BD1F-52851A7F3FDB}"/>
    <cellStyle name="20% - Énfasis2 2" xfId="29" xr:uid="{246F570D-2ACA-4B2F-A7ED-F991255BEBEC}"/>
    <cellStyle name="20% - Énfasis3 2" xfId="33" xr:uid="{FEAA844D-0B3E-4DCE-AD28-9C727377DEFE}"/>
    <cellStyle name="20% - Énfasis4 2" xfId="37" xr:uid="{62213F2E-3BB5-42F4-9B7F-9456D8CEF657}"/>
    <cellStyle name="20% - Énfasis5 2" xfId="41" xr:uid="{718A7ACD-18F4-450F-9972-EC569F0BC1E1}"/>
    <cellStyle name="20% - Énfasis6 2" xfId="45" xr:uid="{3C63C8ED-0490-4B25-B7BE-FDD1B64E555D}"/>
    <cellStyle name="40% - Énfasis1 2" xfId="26" xr:uid="{80DDFE2C-3119-4E1B-A5B1-3F6685369279}"/>
    <cellStyle name="40% - Énfasis2 2" xfId="30" xr:uid="{BC5AF298-8189-4CF8-99FC-4A3B11F0CD19}"/>
    <cellStyle name="40% - Énfasis3 2" xfId="34" xr:uid="{3CA6A34D-37BD-497F-AD1C-1537AC94936D}"/>
    <cellStyle name="40% - Énfasis4 2" xfId="38" xr:uid="{B1D71505-3A0E-4A93-8043-00D1BEAD265B}"/>
    <cellStyle name="40% - Énfasis5 2" xfId="42" xr:uid="{54F6B4FB-2F4C-42F2-B536-9EF88F5392FF}"/>
    <cellStyle name="40% - Énfasis6 2" xfId="46" xr:uid="{E72F2C85-78FC-41F3-97B4-B01B8B6441E6}"/>
    <cellStyle name="60% - Énfasis1 2" xfId="27" xr:uid="{B9D52341-06B7-4794-9D4B-25B9A0434900}"/>
    <cellStyle name="60% - Énfasis2 2" xfId="31" xr:uid="{469F0DF6-9EDB-4553-AC9D-FE02410BEE50}"/>
    <cellStyle name="60% - Énfasis3 2" xfId="35" xr:uid="{E4AB332D-E250-4B1E-ACC3-5CD61B14C017}"/>
    <cellStyle name="60% - Énfasis4 2" xfId="39" xr:uid="{72AF1E9F-6F55-4D1A-A106-6A18DC2A6ECE}"/>
    <cellStyle name="60% - Énfasis5 2" xfId="43" xr:uid="{077F671E-163E-4A6A-A800-2BFDAAB5E503}"/>
    <cellStyle name="60% - Énfasis6 2" xfId="47" xr:uid="{C7756643-F9D2-4527-BE54-D27D2756D32C}"/>
    <cellStyle name="Bueno 2" xfId="18" xr:uid="{29A059BF-A85B-493C-989C-9BC927DF9503}"/>
    <cellStyle name="Calculation" xfId="9" builtinId="22" customBuiltin="1"/>
    <cellStyle name="Check Cell" xfId="11" builtinId="23" customBuiltin="1"/>
    <cellStyle name="Currency" xfId="48" builtinId="4"/>
    <cellStyle name="Encabezado 4 2" xfId="17" xr:uid="{BE9AA079-98C7-4A44-919F-5056F0DDA2D8}"/>
    <cellStyle name="Énfasis1 2" xfId="24" xr:uid="{2BD0DE22-249C-4318-AA5C-6A3F294CADA5}"/>
    <cellStyle name="Énfasis2 2" xfId="28" xr:uid="{DCD51ECD-B54E-4039-88A3-13B52A0033D4}"/>
    <cellStyle name="Énfasis3 2" xfId="32" xr:uid="{BABB55B7-BD6F-4FD7-92ED-5F2FA4E72D05}"/>
    <cellStyle name="Énfasis4 2" xfId="36" xr:uid="{4A44897F-FD87-4973-B4C8-AAA45EF2732E}"/>
    <cellStyle name="Énfasis5 2" xfId="40" xr:uid="{803DAEAC-C63A-4933-B598-21455279639B}"/>
    <cellStyle name="Énfasis6 2" xfId="44" xr:uid="{92F91954-B150-4919-9F91-2E568BE67CA4}"/>
    <cellStyle name="Heading 1" xfId="4" builtinId="16" customBuiltin="1"/>
    <cellStyle name="Heading 2" xfId="5" builtinId="17" customBuiltin="1"/>
    <cellStyle name="Heading 3" xfId="6" builtinId="18" customBuiltin="1"/>
    <cellStyle name="Hipervínculo 2" xfId="14" xr:uid="{9E245210-85D6-4EDE-B8CF-A006BB4A5323}"/>
    <cellStyle name="Hyperlink" xfId="1" builtinId="8"/>
    <cellStyle name="Incorrecto 2" xfId="19" xr:uid="{8709B2E8-AB0E-4ACB-880F-6631E7FCCB55}"/>
    <cellStyle name="Input" xfId="7" builtinId="20" customBuiltin="1"/>
    <cellStyle name="Linked Cell" xfId="10" builtinId="24" customBuiltin="1"/>
    <cellStyle name="Neutral 2" xfId="20" xr:uid="{82CEFF43-9649-4AC7-9FE3-A3D7A9F84AD1}"/>
    <cellStyle name="Normal" xfId="0" builtinId="0"/>
    <cellStyle name="Normal 2" xfId="15" xr:uid="{08C23D8B-D23F-4870-8D44-90AD1A15CDDB}"/>
    <cellStyle name="Normal 3" xfId="3" xr:uid="{EE5409AD-1012-4C99-BEEB-CCE600A0BC30}"/>
    <cellStyle name="Normal 4" xfId="13" xr:uid="{0F5F9645-9968-428B-9B08-CC48062384BE}"/>
    <cellStyle name="Normal 5" xfId="49" xr:uid="{AFDE692A-BB9D-4A28-B50E-A25D95162A4A}"/>
    <cellStyle name="Notas 2" xfId="22" xr:uid="{C643CD72-6989-499A-8CD3-CBF132BCD728}"/>
    <cellStyle name="Output" xfId="8" builtinId="21" customBuiltin="1"/>
    <cellStyle name="Percent" xfId="2" builtinId="5"/>
    <cellStyle name="Texto de advertencia 2" xfId="21" xr:uid="{AEE85916-ED15-43A2-8FE3-E14FFDA74EA6}"/>
    <cellStyle name="Texto explicativo 2" xfId="23" xr:uid="{9BF38E9E-A2E9-4243-AFBB-44D7076408D2}"/>
    <cellStyle name="Título 4" xfId="16" xr:uid="{946E7DEE-D171-4401-A2D6-F197EF56CC23}"/>
    <cellStyle name="Total" xfId="12" builtinId="25" customBuiltin="1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none"/>
      </font>
      <numFmt numFmtId="0" formatCode="General"/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Calibri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C39D1F-FA6A-4818-B610-AD67F65E84AC}" name="Tabla1" displayName="Tabla1" ref="A1:G1120" totalsRowShown="0" headerRowDxfId="27" dataDxfId="26">
  <autoFilter ref="A1:G1120" xr:uid="{0BC39D1F-FA6A-4818-B610-AD67F65E84AC}"/>
  <sortState xmlns:xlrd2="http://schemas.microsoft.com/office/spreadsheetml/2017/richdata2" ref="A2:G1120">
    <sortCondition ref="F2:F1120"/>
  </sortState>
  <tableColumns count="7">
    <tableColumn id="1" xr3:uid="{AB70B812-7C30-4C34-84AA-8EF389A8D225}" name="CODIGO_DEPTO" dataDxfId="25"/>
    <tableColumn id="2" xr3:uid="{EA780D6A-3E84-4E43-9729-DD835F663F08}" name="NOMBRE_DEPTO" dataDxfId="24"/>
    <tableColumn id="3" xr3:uid="{98D43FAE-B288-457C-8D2D-B7AEEAC4825F}" name="PROVINCIA" dataDxfId="23"/>
    <tableColumn id="5" xr3:uid="{63CA724A-4DD3-4D97-AABC-8E4E4E913913}" name="NOMBRE_MPIO" dataDxfId="22"/>
    <tableColumn id="7" xr3:uid="{D5046DFB-CDFB-4880-BC7A-5C4AF360B772}" name="CODIGO_MPIO2" dataDxfId="21"/>
    <tableColumn id="6" xr3:uid="{AF6C85F1-38B9-40ED-8A65-7459832064F3}" name="MUNICIO Y DEPARTAMENTO" dataDxfId="20">
      <calculatedColumnFormula>CONCATENATE(Tabla1[[#This Row],[NOMBRE_MPIO]]," (",Tabla1[[#This Row],[NOMBRE_DEPTO]],")")</calculatedColumnFormula>
    </tableColumn>
    <tableColumn id="8" xr3:uid="{8C3A57C8-26E8-4BF4-9806-F9B63EF44F7F}" name="CÓDIGO MUNICIPIO" dataDxfId="19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4926FC-BE1F-4994-B608-7A2A75B82B02}" name="Tabla5" displayName="Tabla5" ref="B1:G31" totalsRowShown="0" headerRowDxfId="18" dataDxfId="17">
  <autoFilter ref="B1:G31" xr:uid="{FC4926FC-BE1F-4994-B608-7A2A75B82B02}">
    <filterColumn colId="4">
      <filters>
        <filter val="DECANA DE DERECHO_x000a_DIRECTORA DE DERECHO"/>
        <filter val="DECANA DE INGENIERÍA (E)_x000a_DIRECTORA DE INGENIERÍA BIOMEDICA"/>
        <filter val="DECANA IDEEAS _x000a_DIRECTORA ECONOMÍA"/>
        <filter val="DECANO DE ARQUITECTURA _x000a_DIRECTOR DE ARQUITECTURA"/>
        <filter val="DECANO DE LA ESCUELA DE NEGOCIOS_x000a_DIRECTOR DE ADMINISTRACIÓN DE EMPRESAS (PROVISIONAL)"/>
        <filter val="DIRECTOR DE CIENCIA POLÍTICA Y RELACIONES INTERNACIONALES"/>
        <filter val="DIRECTOR DE ECONOMÍA"/>
        <filter val="DIRECTOR DE ELÉCTRICA Y ELECTRÓNICA"/>
        <filter val="DIRECTOR DE FINANZAS Y NEGOCIOS INTERNACIONALES"/>
        <filter val="DIRECTOR DE INGENIERÍA CIVIL Y AMBIENTAL"/>
        <filter val="DIRECTOR DE INGENIERÍA DE SISTEMAS"/>
        <filter val="DIRECTOR DE INGENIERÍA INDUSTRIAL"/>
        <filter val="DIRECTOR DE INGENIERÍA MECÁNICA Y MECATRÓNICA"/>
        <filter val="DIRECTOR DE INGENIERÍA NAVAL"/>
        <filter val="DIRECTORA CENTRO DE IDIOMAS"/>
        <filter val="DIRECTORA DE COMUNICACIÓN SOCIAL"/>
        <filter val="DIRECTORA DE INGENIERÍA QUÍMICA"/>
        <filter val="DIRECTORA DE INTERNACIONALIZACIÓN"/>
        <filter val="DIRECTORA DE PSICOLOGÍA"/>
        <filter val="SECRETARIO ACADÉMICO_x000a_DIRECTORA DE CONTADURÍA PÚBLICA"/>
      </filters>
    </filterColumn>
  </autoFilter>
  <tableColumns count="6">
    <tableColumn id="4" xr3:uid="{635C214E-A7B7-4132-8438-5EC58991E57E}" name="DOCENTE" dataDxfId="16"/>
    <tableColumn id="5" xr3:uid="{5B11CF89-799F-4788-95C7-3420FCAC912F}" name="CC" dataDxfId="15"/>
    <tableColumn id="2" xr3:uid="{78439533-9AA7-442F-B19C-6B185DD1993A}" name="CORREO INSTITUCIONAL" dataDxfId="14"/>
    <tableColumn id="6" xr3:uid="{26370408-E7AE-4953-AB0B-3C9BB604000B}" name="CONTACTO" dataDxfId="13"/>
    <tableColumn id="3" xr3:uid="{B7CA62CD-9419-413D-98B7-CBBD170FFCC2}" name="CARGO DE GESTIÓN" dataDxfId="12"/>
    <tableColumn id="1" xr3:uid="{EBB4B93C-FBC6-4283-9CC3-36880B499AF6}" name="OBSERVACIONES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opus.com/authid/detail.uri?authorId=59987226300&amp;origin=recordpage" TargetMode="External"/><Relationship Id="rId13" Type="http://schemas.openxmlformats.org/officeDocument/2006/relationships/hyperlink" Target="https://www.scopus.com/authid/detail.uri?authorId=57197028938&amp;origin=resultslist" TargetMode="External"/><Relationship Id="rId18" Type="http://schemas.openxmlformats.org/officeDocument/2006/relationships/hyperlink" Target="https://www.scopus.com/authid/detail.uri?authorId=60219600400&amp;origin=resultslist" TargetMode="External"/><Relationship Id="rId3" Type="http://schemas.openxmlformats.org/officeDocument/2006/relationships/hyperlink" Target="https://www.scopus.com/authid/detail.uri?authorId=14622047600" TargetMode="External"/><Relationship Id="rId21" Type="http://schemas.openxmlformats.org/officeDocument/2006/relationships/hyperlink" Target="https://www.scopus.com/authid/detail.uri?authorId=57202852177" TargetMode="External"/><Relationship Id="rId7" Type="http://schemas.openxmlformats.org/officeDocument/2006/relationships/hyperlink" Target="https://www.scopus.com/authid/detail.uri?authorId=57209248085" TargetMode="External"/><Relationship Id="rId12" Type="http://schemas.openxmlformats.org/officeDocument/2006/relationships/hyperlink" Target="https://www.scopus.com/authid/detail.uri?authorId=59760252900&amp;origin=resultslist" TargetMode="External"/><Relationship Id="rId17" Type="http://schemas.openxmlformats.org/officeDocument/2006/relationships/hyperlink" Target="https://www.scopus.com/authid/detail.uri?authorId=57117284600" TargetMode="External"/><Relationship Id="rId25" Type="http://schemas.openxmlformats.org/officeDocument/2006/relationships/hyperlink" Target="https://www.scopus.com/authid/detail.uri?authorId=60514611700" TargetMode="External"/><Relationship Id="rId2" Type="http://schemas.openxmlformats.org/officeDocument/2006/relationships/hyperlink" Target="https://www.scopus.com/authid/detail.uri?authorId=57189892062" TargetMode="External"/><Relationship Id="rId16" Type="http://schemas.openxmlformats.org/officeDocument/2006/relationships/hyperlink" Target="https://www.scopus.com/authid/detail.uri?authorId=57811348000&amp;origin=recordpage" TargetMode="External"/><Relationship Id="rId20" Type="http://schemas.openxmlformats.org/officeDocument/2006/relationships/hyperlink" Target="https://www.scopus.com/authid/detail.uri?authorId=57931099400" TargetMode="External"/><Relationship Id="rId1" Type="http://schemas.openxmlformats.org/officeDocument/2006/relationships/hyperlink" Target="https://www.scopus.com/authid/detail.uri?authorId=35788581800" TargetMode="External"/><Relationship Id="rId6" Type="http://schemas.openxmlformats.org/officeDocument/2006/relationships/hyperlink" Target="https://scopus.utb.elogim.com/authid/detail.uri?authorId=58954857900&amp;origin=recordpage" TargetMode="External"/><Relationship Id="rId11" Type="http://schemas.openxmlformats.org/officeDocument/2006/relationships/hyperlink" Target="https://www.scopus.com/authid/detail.uri?authorId=55881930700&amp;origin=resultslist" TargetMode="External"/><Relationship Id="rId24" Type="http://schemas.openxmlformats.org/officeDocument/2006/relationships/hyperlink" Target="https://www.scopus.com/authid/detail.uri?authorId=60157655200" TargetMode="External"/><Relationship Id="rId5" Type="http://schemas.openxmlformats.org/officeDocument/2006/relationships/hyperlink" Target="https://scopus.utb.elogim.com/authid/detail.uri?authorId=57212006168" TargetMode="External"/><Relationship Id="rId15" Type="http://schemas.openxmlformats.org/officeDocument/2006/relationships/hyperlink" Target="https://www.scopus.com/authid/detail.uri?authorId=57225191597&amp;origin=resultslist" TargetMode="External"/><Relationship Id="rId23" Type="http://schemas.openxmlformats.org/officeDocument/2006/relationships/hyperlink" Target="https://www.scopus.com/authid/detail.uri?authorId=58868256900" TargetMode="External"/><Relationship Id="rId10" Type="http://schemas.openxmlformats.org/officeDocument/2006/relationships/hyperlink" Target="https://www.scopus.com/authid/detail.uri?authorId=58523088300&amp;origin=recordpage" TargetMode="External"/><Relationship Id="rId19" Type="http://schemas.openxmlformats.org/officeDocument/2006/relationships/hyperlink" Target="https://www.scopus.com/authid/detail.uri?authorId=60026192200" TargetMode="External"/><Relationship Id="rId4" Type="http://schemas.openxmlformats.org/officeDocument/2006/relationships/hyperlink" Target="https://www.scopus.com/authid/detail.uri?authorId=58917134900&amp;origin=recordpage" TargetMode="External"/><Relationship Id="rId9" Type="http://schemas.openxmlformats.org/officeDocument/2006/relationships/hyperlink" Target="https://www.scopus.com/authid/detail.uri?authorId=57219696066&amp;origin=recordpage" TargetMode="External"/><Relationship Id="rId14" Type="http://schemas.openxmlformats.org/officeDocument/2006/relationships/hyperlink" Target="https://www.scopus.com/authid/detail.uri?authorId=57804909800&amp;origin=resultslist" TargetMode="External"/><Relationship Id="rId22" Type="http://schemas.openxmlformats.org/officeDocument/2006/relationships/hyperlink" Target="https://www.scopus.com/authid/detail.uri?authorId=57421989500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duncan@utb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93C3-6F61-4493-BCBD-2E75D2F5896E}">
  <dimension ref="A1:J1120"/>
  <sheetViews>
    <sheetView workbookViewId="0"/>
  </sheetViews>
  <sheetFormatPr baseColWidth="10" defaultColWidth="11.5" defaultRowHeight="11" x14ac:dyDescent="0.15"/>
  <cols>
    <col min="1" max="1" width="15.83203125" style="19" bestFit="1" customWidth="1"/>
    <col min="2" max="2" width="21" style="14" bestFit="1" customWidth="1"/>
    <col min="3" max="3" width="23.33203125" style="14" bestFit="1" customWidth="1"/>
    <col min="4" max="4" width="22.1640625" style="14" bestFit="1" customWidth="1"/>
    <col min="5" max="5" width="22.1640625" style="14" customWidth="1"/>
    <col min="6" max="6" width="43.6640625" style="15" bestFit="1" customWidth="1"/>
    <col min="7" max="7" width="12.5" style="19" customWidth="1"/>
    <col min="8" max="8" width="11.5" style="14"/>
    <col min="9" max="9" width="29.1640625" style="14" customWidth="1"/>
    <col min="10" max="10" width="12.1640625" style="19" customWidth="1"/>
    <col min="11" max="16384" width="11.5" style="14"/>
  </cols>
  <sheetData>
    <row r="1" spans="1:10" s="12" customFormat="1" ht="45.75" customHeight="1" thickBot="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3" t="s">
        <v>6</v>
      </c>
      <c r="I1" s="16" t="s">
        <v>7</v>
      </c>
      <c r="J1" s="16" t="s">
        <v>8</v>
      </c>
    </row>
    <row r="2" spans="1:10" x14ac:dyDescent="0.15">
      <c r="A2" s="19">
        <v>5</v>
      </c>
      <c r="B2" s="14" t="s">
        <v>9</v>
      </c>
      <c r="C2" s="14" t="s">
        <v>10</v>
      </c>
      <c r="D2" s="14" t="s">
        <v>11</v>
      </c>
      <c r="E2" s="14" t="s">
        <v>12</v>
      </c>
      <c r="F2" s="15" t="str">
        <f>CONCATENATE(Tabla1[[#This Row],[NOMBRE_MPIO]]," (",Tabla1[[#This Row],[NOMBRE_DEPTO]],")")</f>
        <v>ABEJORRAL (ANTIOQUIA)</v>
      </c>
      <c r="G2" s="19" t="s">
        <v>12</v>
      </c>
      <c r="I2" s="17" t="s">
        <v>13</v>
      </c>
      <c r="J2" s="18">
        <v>4</v>
      </c>
    </row>
    <row r="3" spans="1:10" x14ac:dyDescent="0.15">
      <c r="A3" s="19">
        <v>54</v>
      </c>
      <c r="B3" s="14" t="s">
        <v>14</v>
      </c>
      <c r="C3" s="14" t="s">
        <v>15</v>
      </c>
      <c r="D3" s="14" t="s">
        <v>16</v>
      </c>
      <c r="E3" s="14" t="s">
        <v>17</v>
      </c>
      <c r="F3" s="15" t="str">
        <f>CONCATENATE(Tabla1[[#This Row],[NOMBRE_MPIO]]," (",Tabla1[[#This Row],[NOMBRE_DEPTO]],")")</f>
        <v>ABREGO (NORTE DE SANTANDER)</v>
      </c>
      <c r="G3" s="19" t="s">
        <v>17</v>
      </c>
      <c r="I3" s="14" t="s">
        <v>18</v>
      </c>
      <c r="J3" s="19">
        <v>8</v>
      </c>
    </row>
    <row r="4" spans="1:10" x14ac:dyDescent="0.15">
      <c r="A4" s="19">
        <v>5</v>
      </c>
      <c r="B4" s="14" t="s">
        <v>9</v>
      </c>
      <c r="C4" s="14" t="s">
        <v>15</v>
      </c>
      <c r="D4" s="14" t="s">
        <v>19</v>
      </c>
      <c r="E4" s="14" t="s">
        <v>20</v>
      </c>
      <c r="F4" s="15" t="str">
        <f>CONCATENATE(Tabla1[[#This Row],[NOMBRE_MPIO]]," (",Tabla1[[#This Row],[NOMBRE_DEPTO]],")")</f>
        <v>ABRIAQUÍ (ANTIOQUIA)</v>
      </c>
      <c r="G4" s="19" t="s">
        <v>20</v>
      </c>
      <c r="I4" s="17" t="s">
        <v>21</v>
      </c>
      <c r="J4" s="18">
        <v>276</v>
      </c>
    </row>
    <row r="5" spans="1:10" x14ac:dyDescent="0.15">
      <c r="A5" s="19">
        <v>50</v>
      </c>
      <c r="B5" s="14" t="s">
        <v>22</v>
      </c>
      <c r="C5" s="14" t="s">
        <v>23</v>
      </c>
      <c r="D5" s="14" t="s">
        <v>24</v>
      </c>
      <c r="E5" s="14" t="s">
        <v>25</v>
      </c>
      <c r="F5" s="15" t="str">
        <f>CONCATENATE(Tabla1[[#This Row],[NOMBRE_MPIO]]," (",Tabla1[[#This Row],[NOMBRE_DEPTO]],")")</f>
        <v>ACACiAS (META)</v>
      </c>
      <c r="G5" s="19" t="s">
        <v>25</v>
      </c>
      <c r="I5" s="14" t="s">
        <v>26</v>
      </c>
      <c r="J5" s="19">
        <v>20</v>
      </c>
    </row>
    <row r="6" spans="1:10" x14ac:dyDescent="0.15">
      <c r="A6" s="19">
        <v>27</v>
      </c>
      <c r="B6" s="14" t="s">
        <v>27</v>
      </c>
      <c r="C6" s="14" t="s">
        <v>28</v>
      </c>
      <c r="D6" s="14" t="s">
        <v>29</v>
      </c>
      <c r="E6" s="14" t="s">
        <v>30</v>
      </c>
      <c r="F6" s="15" t="str">
        <f>CONCATENATE(Tabla1[[#This Row],[NOMBRE_MPIO]]," (",Tabla1[[#This Row],[NOMBRE_DEPTO]],")")</f>
        <v>ACANDÍ (CHOCO)</v>
      </c>
      <c r="G6" s="19" t="s">
        <v>30</v>
      </c>
      <c r="I6" s="17" t="s">
        <v>31</v>
      </c>
      <c r="J6" s="18">
        <v>24</v>
      </c>
    </row>
    <row r="7" spans="1:10" x14ac:dyDescent="0.15">
      <c r="A7" s="19">
        <v>41</v>
      </c>
      <c r="B7" s="14" t="s">
        <v>32</v>
      </c>
      <c r="C7" s="14" t="s">
        <v>33</v>
      </c>
      <c r="D7" s="14" t="s">
        <v>34</v>
      </c>
      <c r="E7" s="14" t="s">
        <v>35</v>
      </c>
      <c r="F7" s="15" t="str">
        <f>CONCATENATE(Tabla1[[#This Row],[NOMBRE_MPIO]]," (",Tabla1[[#This Row],[NOMBRE_DEPTO]],")")</f>
        <v>ACEVEDO (HUILA)</v>
      </c>
      <c r="G7" s="19" t="s">
        <v>35</v>
      </c>
      <c r="I7" s="14" t="s">
        <v>36</v>
      </c>
      <c r="J7" s="19">
        <v>660</v>
      </c>
    </row>
    <row r="8" spans="1:10" x14ac:dyDescent="0.15">
      <c r="A8" s="19">
        <v>13</v>
      </c>
      <c r="B8" s="14" t="s">
        <v>37</v>
      </c>
      <c r="C8" s="14" t="s">
        <v>38</v>
      </c>
      <c r="D8" s="14" t="s">
        <v>39</v>
      </c>
      <c r="E8" s="14" t="s">
        <v>40</v>
      </c>
      <c r="F8" s="15" t="str">
        <f>CONCATENATE(Tabla1[[#This Row],[NOMBRE_MPIO]]," (",Tabla1[[#This Row],[NOMBRE_DEPTO]],")")</f>
        <v>ACHÍ (BOLIVAR)</v>
      </c>
      <c r="G8" s="19" t="s">
        <v>40</v>
      </c>
      <c r="I8" s="17" t="s">
        <v>41</v>
      </c>
      <c r="J8" s="18">
        <v>10</v>
      </c>
    </row>
    <row r="9" spans="1:10" x14ac:dyDescent="0.15">
      <c r="A9" s="19">
        <v>41</v>
      </c>
      <c r="B9" s="14" t="s">
        <v>32</v>
      </c>
      <c r="C9" s="14" t="s">
        <v>42</v>
      </c>
      <c r="D9" s="14" t="s">
        <v>43</v>
      </c>
      <c r="E9" s="14" t="s">
        <v>44</v>
      </c>
      <c r="F9" s="15" t="str">
        <f>CONCATENATE(Tabla1[[#This Row],[NOMBRE_MPIO]]," (",Tabla1[[#This Row],[NOMBRE_DEPTO]],")")</f>
        <v>AGRADO (HUILA)</v>
      </c>
      <c r="G9" s="19" t="s">
        <v>44</v>
      </c>
      <c r="I9" s="14" t="s">
        <v>45</v>
      </c>
      <c r="J9" s="19">
        <v>28</v>
      </c>
    </row>
    <row r="10" spans="1:10" x14ac:dyDescent="0.15">
      <c r="A10" s="19">
        <v>25</v>
      </c>
      <c r="B10" s="14" t="s">
        <v>46</v>
      </c>
      <c r="C10" s="14" t="s">
        <v>47</v>
      </c>
      <c r="D10" s="14" t="s">
        <v>48</v>
      </c>
      <c r="E10" s="14" t="s">
        <v>49</v>
      </c>
      <c r="F10" s="15" t="str">
        <f>CONCATENATE(Tabla1[[#This Row],[NOMBRE_MPIO]]," (",Tabla1[[#This Row],[NOMBRE_DEPTO]],")")</f>
        <v>AGUA DE DIOS (CUNDINAMARCA)</v>
      </c>
      <c r="G10" s="19" t="s">
        <v>49</v>
      </c>
      <c r="I10" s="17" t="s">
        <v>50</v>
      </c>
      <c r="J10" s="18">
        <v>530</v>
      </c>
    </row>
    <row r="11" spans="1:10" x14ac:dyDescent="0.15">
      <c r="A11" s="19">
        <v>20</v>
      </c>
      <c r="B11" s="14" t="s">
        <v>51</v>
      </c>
      <c r="C11" s="14" t="s">
        <v>52</v>
      </c>
      <c r="D11" s="14" t="s">
        <v>53</v>
      </c>
      <c r="E11" s="14" t="s">
        <v>54</v>
      </c>
      <c r="F11" s="15" t="str">
        <f>CONCATENATE(Tabla1[[#This Row],[NOMBRE_MPIO]]," (",Tabla1[[#This Row],[NOMBRE_DEPTO]],")")</f>
        <v>AGUACHICA (CESAR)</v>
      </c>
      <c r="G11" s="19" t="s">
        <v>54</v>
      </c>
      <c r="I11" s="14" t="s">
        <v>55</v>
      </c>
      <c r="J11" s="19">
        <v>682</v>
      </c>
    </row>
    <row r="12" spans="1:10" x14ac:dyDescent="0.15">
      <c r="A12" s="19">
        <v>68</v>
      </c>
      <c r="B12" s="14" t="s">
        <v>56</v>
      </c>
      <c r="C12" s="14" t="s">
        <v>57</v>
      </c>
      <c r="D12" s="14" t="s">
        <v>58</v>
      </c>
      <c r="E12" s="14" t="s">
        <v>59</v>
      </c>
      <c r="F12" s="15" t="str">
        <f>CONCATENATE(Tabla1[[#This Row],[NOMBRE_MPIO]]," (",Tabla1[[#This Row],[NOMBRE_DEPTO]],")")</f>
        <v>AGUADA (SANTANDER)</v>
      </c>
      <c r="G12" s="19" t="s">
        <v>59</v>
      </c>
      <c r="I12" s="17" t="s">
        <v>60</v>
      </c>
      <c r="J12" s="18">
        <v>12</v>
      </c>
    </row>
    <row r="13" spans="1:10" x14ac:dyDescent="0.15">
      <c r="A13" s="19">
        <v>17</v>
      </c>
      <c r="B13" s="14" t="s">
        <v>61</v>
      </c>
      <c r="C13" s="14" t="s">
        <v>62</v>
      </c>
      <c r="D13" s="14" t="s">
        <v>63</v>
      </c>
      <c r="E13" s="14" t="s">
        <v>64</v>
      </c>
      <c r="F13" s="15" t="str">
        <f>CONCATENATE(Tabla1[[#This Row],[NOMBRE_MPIO]]," (",Tabla1[[#This Row],[NOMBRE_DEPTO]],")")</f>
        <v>AGUADAS (CALDAS)</v>
      </c>
      <c r="G13" s="19" t="s">
        <v>64</v>
      </c>
      <c r="I13" s="14" t="s">
        <v>65</v>
      </c>
      <c r="J13" s="19">
        <v>32</v>
      </c>
    </row>
    <row r="14" spans="1:10" x14ac:dyDescent="0.15">
      <c r="A14" s="19">
        <v>85</v>
      </c>
      <c r="B14" s="14" t="s">
        <v>66</v>
      </c>
      <c r="C14" s="14" t="s">
        <v>66</v>
      </c>
      <c r="D14" s="14" t="s">
        <v>67</v>
      </c>
      <c r="E14" s="14" t="s">
        <v>68</v>
      </c>
      <c r="F14" s="15" t="str">
        <f>CONCATENATE(Tabla1[[#This Row],[NOMBRE_MPIO]]," (",Tabla1[[#This Row],[NOMBRE_DEPTO]],")")</f>
        <v>AGUAZUL (CASANARE)</v>
      </c>
      <c r="G14" s="19" t="s">
        <v>68</v>
      </c>
      <c r="I14" s="17" t="s">
        <v>69</v>
      </c>
      <c r="J14" s="18">
        <v>51</v>
      </c>
    </row>
    <row r="15" spans="1:10" x14ac:dyDescent="0.15">
      <c r="A15" s="19">
        <v>20</v>
      </c>
      <c r="B15" s="14" t="s">
        <v>51</v>
      </c>
      <c r="C15" s="14" t="s">
        <v>62</v>
      </c>
      <c r="D15" s="14" t="s">
        <v>70</v>
      </c>
      <c r="E15" s="14" t="s">
        <v>71</v>
      </c>
      <c r="F15" s="15" t="str">
        <f>CONCATENATE(Tabla1[[#This Row],[NOMBRE_MPIO]]," (",Tabla1[[#This Row],[NOMBRE_DEPTO]],")")</f>
        <v>AGUSTÍN CODAZZI (CESAR)</v>
      </c>
      <c r="G15" s="19" t="s">
        <v>71</v>
      </c>
      <c r="I15" s="14" t="s">
        <v>72</v>
      </c>
      <c r="J15" s="19">
        <v>533</v>
      </c>
    </row>
    <row r="16" spans="1:10" x14ac:dyDescent="0.15">
      <c r="A16" s="19">
        <v>41</v>
      </c>
      <c r="B16" s="14" t="s">
        <v>32</v>
      </c>
      <c r="C16" s="14" t="s">
        <v>62</v>
      </c>
      <c r="D16" s="14" t="s">
        <v>73</v>
      </c>
      <c r="E16" s="14" t="s">
        <v>74</v>
      </c>
      <c r="F16" s="15" t="str">
        <f>CONCATENATE(Tabla1[[#This Row],[NOMBRE_MPIO]]," (",Tabla1[[#This Row],[NOMBRE_DEPTO]],")")</f>
        <v>AIPE (HUILA)</v>
      </c>
      <c r="G16" s="19" t="s">
        <v>74</v>
      </c>
      <c r="I16" s="17" t="s">
        <v>75</v>
      </c>
      <c r="J16" s="18">
        <v>36</v>
      </c>
    </row>
    <row r="17" spans="1:10" x14ac:dyDescent="0.15">
      <c r="A17" s="19">
        <v>25</v>
      </c>
      <c r="B17" s="14" t="s">
        <v>46</v>
      </c>
      <c r="C17" s="14" t="s">
        <v>76</v>
      </c>
      <c r="D17" s="14" t="s">
        <v>77</v>
      </c>
      <c r="E17" s="14" t="s">
        <v>78</v>
      </c>
      <c r="F17" s="15" t="str">
        <f>CONCATENATE(Tabla1[[#This Row],[NOMBRE_MPIO]]," (",Tabla1[[#This Row],[NOMBRE_DEPTO]],")")</f>
        <v>ALBÁN (CUNDINAMARCA)</v>
      </c>
      <c r="G17" s="19" t="s">
        <v>78</v>
      </c>
      <c r="I17" s="14" t="s">
        <v>79</v>
      </c>
      <c r="J17" s="19">
        <v>40</v>
      </c>
    </row>
    <row r="18" spans="1:10" x14ac:dyDescent="0.15">
      <c r="A18" s="19">
        <v>52</v>
      </c>
      <c r="B18" s="14" t="s">
        <v>80</v>
      </c>
      <c r="C18" s="14" t="s">
        <v>62</v>
      </c>
      <c r="D18" s="14" t="s">
        <v>81</v>
      </c>
      <c r="E18" s="14" t="s">
        <v>82</v>
      </c>
      <c r="F18" s="15" t="str">
        <f>CONCATENATE(Tabla1[[#This Row],[NOMBRE_MPIO]]," (",Tabla1[[#This Row],[NOMBRE_DEPTO]],")")</f>
        <v>ALBAN (NARIÑO)</v>
      </c>
      <c r="G18" s="19" t="s">
        <v>82</v>
      </c>
      <c r="I18" s="17" t="s">
        <v>83</v>
      </c>
      <c r="J18" s="18">
        <v>31</v>
      </c>
    </row>
    <row r="19" spans="1:10" x14ac:dyDescent="0.15">
      <c r="A19" s="19">
        <v>18</v>
      </c>
      <c r="B19" s="14" t="s">
        <v>84</v>
      </c>
      <c r="C19" s="14" t="s">
        <v>84</v>
      </c>
      <c r="D19" s="14" t="s">
        <v>18</v>
      </c>
      <c r="E19" s="14" t="s">
        <v>85</v>
      </c>
      <c r="F19" s="15" t="str">
        <f>CONCATENATE(Tabla1[[#This Row],[NOMBRE_MPIO]]," (",Tabla1[[#This Row],[NOMBRE_DEPTO]],")")</f>
        <v>ALBANIA (CAQUETA)</v>
      </c>
      <c r="G19" s="19" t="s">
        <v>85</v>
      </c>
      <c r="I19" s="14" t="s">
        <v>86</v>
      </c>
      <c r="J19" s="19">
        <v>44</v>
      </c>
    </row>
    <row r="20" spans="1:10" x14ac:dyDescent="0.15">
      <c r="A20" s="19">
        <v>44</v>
      </c>
      <c r="B20" s="14" t="s">
        <v>87</v>
      </c>
      <c r="C20" s="14" t="s">
        <v>62</v>
      </c>
      <c r="D20" s="14" t="s">
        <v>18</v>
      </c>
      <c r="E20" s="14" t="s">
        <v>88</v>
      </c>
      <c r="F20" s="15" t="str">
        <f>CONCATENATE(Tabla1[[#This Row],[NOMBRE_MPIO]]," (",Tabla1[[#This Row],[NOMBRE_DEPTO]],")")</f>
        <v>ALBANIA (LA GUAJIRA)</v>
      </c>
      <c r="G20" s="19" t="s">
        <v>88</v>
      </c>
      <c r="I20" s="17" t="s">
        <v>89</v>
      </c>
      <c r="J20" s="18">
        <v>48</v>
      </c>
    </row>
    <row r="21" spans="1:10" x14ac:dyDescent="0.15">
      <c r="A21" s="19">
        <v>68</v>
      </c>
      <c r="B21" s="14" t="s">
        <v>56</v>
      </c>
      <c r="D21" s="14" t="s">
        <v>18</v>
      </c>
      <c r="E21" s="14" t="s">
        <v>90</v>
      </c>
      <c r="F21" s="15" t="str">
        <f>CONCATENATE(Tabla1[[#This Row],[NOMBRE_MPIO]]," (",Tabla1[[#This Row],[NOMBRE_DEPTO]],")")</f>
        <v>ALBANIA (SANTANDER)</v>
      </c>
      <c r="G21" s="19" t="s">
        <v>90</v>
      </c>
      <c r="I21" s="14" t="s">
        <v>91</v>
      </c>
      <c r="J21" s="19">
        <v>50</v>
      </c>
    </row>
    <row r="22" spans="1:10" x14ac:dyDescent="0.15">
      <c r="A22" s="19">
        <v>76</v>
      </c>
      <c r="B22" s="14" t="s">
        <v>92</v>
      </c>
      <c r="C22" s="14" t="s">
        <v>62</v>
      </c>
      <c r="D22" s="14" t="s">
        <v>93</v>
      </c>
      <c r="E22" s="14" t="s">
        <v>94</v>
      </c>
      <c r="F22" s="15" t="str">
        <f>CONCATENATE(Tabla1[[#This Row],[NOMBRE_MPIO]]," (",Tabla1[[#This Row],[NOMBRE_DEPTO]],")")</f>
        <v>ALCALa (VALLE DEL CAUCA)</v>
      </c>
      <c r="G22" s="19" t="s">
        <v>94</v>
      </c>
      <c r="I22" s="17" t="s">
        <v>95</v>
      </c>
      <c r="J22" s="18">
        <v>52</v>
      </c>
    </row>
    <row r="23" spans="1:10" x14ac:dyDescent="0.15">
      <c r="A23" s="19">
        <v>52</v>
      </c>
      <c r="B23" s="14" t="s">
        <v>80</v>
      </c>
      <c r="C23" s="14" t="s">
        <v>33</v>
      </c>
      <c r="D23" s="14" t="s">
        <v>96</v>
      </c>
      <c r="E23" s="14" t="s">
        <v>97</v>
      </c>
      <c r="F23" s="15" t="str">
        <f>CONCATENATE(Tabla1[[#This Row],[NOMBRE_MPIO]]," (",Tabla1[[#This Row],[NOMBRE_DEPTO]],")")</f>
        <v>ALDANA (NARIÑO)</v>
      </c>
      <c r="G23" s="19" t="s">
        <v>97</v>
      </c>
      <c r="I23" s="14" t="s">
        <v>98</v>
      </c>
      <c r="J23" s="19">
        <v>112</v>
      </c>
    </row>
    <row r="24" spans="1:10" x14ac:dyDescent="0.15">
      <c r="A24" s="19">
        <v>5</v>
      </c>
      <c r="B24" s="14" t="s">
        <v>9</v>
      </c>
      <c r="C24" s="14" t="s">
        <v>10</v>
      </c>
      <c r="D24" s="14" t="s">
        <v>99</v>
      </c>
      <c r="E24" s="14" t="s">
        <v>100</v>
      </c>
      <c r="F24" s="15" t="str">
        <f>CONCATENATE(Tabla1[[#This Row],[NOMBRE_MPIO]]," (",Tabla1[[#This Row],[NOMBRE_DEPTO]],")")</f>
        <v>ALEJANDRÍA (ANTIOQUIA)</v>
      </c>
      <c r="G24" s="19" t="s">
        <v>100</v>
      </c>
      <c r="I24" s="17" t="s">
        <v>101</v>
      </c>
      <c r="J24" s="18">
        <v>56</v>
      </c>
    </row>
    <row r="25" spans="1:10" x14ac:dyDescent="0.15">
      <c r="A25" s="19">
        <v>47</v>
      </c>
      <c r="B25" s="14" t="s">
        <v>102</v>
      </c>
      <c r="C25" s="14" t="s">
        <v>62</v>
      </c>
      <c r="D25" s="14" t="s">
        <v>103</v>
      </c>
      <c r="E25" s="14" t="s">
        <v>104</v>
      </c>
      <c r="F25" s="15" t="str">
        <f>CONCATENATE(Tabla1[[#This Row],[NOMBRE_MPIO]]," (",Tabla1[[#This Row],[NOMBRE_DEPTO]],")")</f>
        <v>ALGARROBO (MAGDALENA)</v>
      </c>
      <c r="G25" s="19" t="s">
        <v>104</v>
      </c>
      <c r="I25" s="14" t="s">
        <v>105</v>
      </c>
      <c r="J25" s="19">
        <v>84</v>
      </c>
    </row>
    <row r="26" spans="1:10" x14ac:dyDescent="0.15">
      <c r="A26" s="19">
        <v>41</v>
      </c>
      <c r="B26" s="14" t="s">
        <v>32</v>
      </c>
      <c r="D26" s="14" t="s">
        <v>106</v>
      </c>
      <c r="E26" s="14" t="s">
        <v>107</v>
      </c>
      <c r="F26" s="15" t="str">
        <f>CONCATENATE(Tabla1[[#This Row],[NOMBRE_MPIO]]," (",Tabla1[[#This Row],[NOMBRE_DEPTO]],")")</f>
        <v>ALGECIRAS (HUILA)</v>
      </c>
      <c r="G26" s="19" t="s">
        <v>107</v>
      </c>
      <c r="I26" s="17" t="s">
        <v>108</v>
      </c>
      <c r="J26" s="18">
        <v>204</v>
      </c>
    </row>
    <row r="27" spans="1:10" x14ac:dyDescent="0.15">
      <c r="A27" s="19">
        <v>19</v>
      </c>
      <c r="B27" s="14" t="s">
        <v>109</v>
      </c>
      <c r="C27" s="14" t="s">
        <v>52</v>
      </c>
      <c r="D27" s="14" t="s">
        <v>110</v>
      </c>
      <c r="E27" s="14" t="s">
        <v>111</v>
      </c>
      <c r="F27" s="15" t="str">
        <f>CONCATENATE(Tabla1[[#This Row],[NOMBRE_MPIO]]," (",Tabla1[[#This Row],[NOMBRE_DEPTO]],")")</f>
        <v>ALMAGUER (CAUCA)</v>
      </c>
      <c r="G27" s="19" t="s">
        <v>111</v>
      </c>
      <c r="I27" s="14" t="s">
        <v>112</v>
      </c>
      <c r="J27" s="19">
        <v>60</v>
      </c>
    </row>
    <row r="28" spans="1:10" x14ac:dyDescent="0.15">
      <c r="A28" s="19">
        <v>15</v>
      </c>
      <c r="B28" s="14" t="s">
        <v>113</v>
      </c>
      <c r="C28" s="14" t="s">
        <v>10</v>
      </c>
      <c r="D28" s="14" t="s">
        <v>114</v>
      </c>
      <c r="E28" s="14" t="s">
        <v>115</v>
      </c>
      <c r="F28" s="15" t="str">
        <f>CONCATENATE(Tabla1[[#This Row],[NOMBRE_MPIO]]," (",Tabla1[[#This Row],[NOMBRE_DEPTO]],")")</f>
        <v>ALMEIDA (BOYACÁ)</v>
      </c>
      <c r="G28" s="19" t="s">
        <v>115</v>
      </c>
      <c r="I28" s="17" t="s">
        <v>116</v>
      </c>
      <c r="J28" s="18">
        <v>64</v>
      </c>
    </row>
    <row r="29" spans="1:10" x14ac:dyDescent="0.15">
      <c r="A29" s="19">
        <v>73</v>
      </c>
      <c r="B29" s="14" t="s">
        <v>117</v>
      </c>
      <c r="C29" s="14" t="s">
        <v>118</v>
      </c>
      <c r="D29" s="14" t="s">
        <v>119</v>
      </c>
      <c r="E29" s="14" t="s">
        <v>120</v>
      </c>
      <c r="F29" s="15" t="str">
        <f>CONCATENATE(Tabla1[[#This Row],[NOMBRE_MPIO]]," (",Tabla1[[#This Row],[NOMBRE_DEPTO]],")")</f>
        <v>ALPUJARRA (TOLIMA)</v>
      </c>
      <c r="G29" s="19" t="s">
        <v>120</v>
      </c>
      <c r="I29" s="14" t="s">
        <v>121</v>
      </c>
      <c r="J29" s="19">
        <v>68</v>
      </c>
    </row>
    <row r="30" spans="1:10" x14ac:dyDescent="0.15">
      <c r="A30" s="19">
        <v>41</v>
      </c>
      <c r="B30" s="14" t="s">
        <v>32</v>
      </c>
      <c r="D30" s="14" t="s">
        <v>122</v>
      </c>
      <c r="E30" s="14" t="s">
        <v>123</v>
      </c>
      <c r="F30" s="15" t="str">
        <f>CONCATENATE(Tabla1[[#This Row],[NOMBRE_MPIO]]," (",Tabla1[[#This Row],[NOMBRE_DEPTO]],")")</f>
        <v>ALTAMIRA (HUILA)</v>
      </c>
      <c r="G30" s="19" t="s">
        <v>123</v>
      </c>
      <c r="I30" s="17" t="s">
        <v>124</v>
      </c>
      <c r="J30" s="18">
        <v>535</v>
      </c>
    </row>
    <row r="31" spans="1:10" x14ac:dyDescent="0.15">
      <c r="A31" s="19">
        <v>27</v>
      </c>
      <c r="B31" s="14" t="s">
        <v>27</v>
      </c>
      <c r="C31" s="14" t="s">
        <v>125</v>
      </c>
      <c r="D31" s="14" t="s">
        <v>126</v>
      </c>
      <c r="E31" s="14" t="s">
        <v>127</v>
      </c>
      <c r="F31" s="15" t="str">
        <f>CONCATENATE(Tabla1[[#This Row],[NOMBRE_MPIO]]," (",Tabla1[[#This Row],[NOMBRE_DEPTO]],")")</f>
        <v>ALTO BAUDÓ (CHOCO)</v>
      </c>
      <c r="G31" s="19" t="s">
        <v>127</v>
      </c>
      <c r="I31" s="14" t="s">
        <v>128</v>
      </c>
      <c r="J31" s="19">
        <v>70</v>
      </c>
    </row>
    <row r="32" spans="1:10" x14ac:dyDescent="0.15">
      <c r="A32" s="19">
        <v>13</v>
      </c>
      <c r="B32" s="14" t="s">
        <v>37</v>
      </c>
      <c r="C32" s="14" t="s">
        <v>129</v>
      </c>
      <c r="D32" s="14" t="s">
        <v>130</v>
      </c>
      <c r="E32" s="14" t="s">
        <v>131</v>
      </c>
      <c r="F32" s="15" t="str">
        <f>CONCATENATE(Tabla1[[#This Row],[NOMBRE_MPIO]]," (",Tabla1[[#This Row],[NOMBRE_DEPTO]],")")</f>
        <v>ALTOS DEL ROSARIO (BOLIVAR)</v>
      </c>
      <c r="G32" s="19" t="s">
        <v>131</v>
      </c>
      <c r="I32" s="17" t="s">
        <v>132</v>
      </c>
      <c r="J32" s="18">
        <v>72</v>
      </c>
    </row>
    <row r="33" spans="1:10" x14ac:dyDescent="0.15">
      <c r="A33" s="19">
        <v>73</v>
      </c>
      <c r="B33" s="14" t="s">
        <v>117</v>
      </c>
      <c r="C33" s="14" t="s">
        <v>133</v>
      </c>
      <c r="D33" s="14" t="s">
        <v>134</v>
      </c>
      <c r="E33" s="14" t="s">
        <v>135</v>
      </c>
      <c r="F33" s="15" t="str">
        <f>CONCATENATE(Tabla1[[#This Row],[NOMBRE_MPIO]]," (",Tabla1[[#This Row],[NOMBRE_DEPTO]],")")</f>
        <v>ALVARADO (TOLIMA)</v>
      </c>
      <c r="G33" s="19" t="s">
        <v>135</v>
      </c>
      <c r="I33" s="14" t="s">
        <v>136</v>
      </c>
      <c r="J33" s="19">
        <v>76</v>
      </c>
    </row>
    <row r="34" spans="1:10" x14ac:dyDescent="0.15">
      <c r="A34" s="19">
        <v>5</v>
      </c>
      <c r="B34" s="14" t="s">
        <v>9</v>
      </c>
      <c r="C34" s="14" t="s">
        <v>137</v>
      </c>
      <c r="D34" s="14" t="s">
        <v>138</v>
      </c>
      <c r="E34" s="14" t="s">
        <v>139</v>
      </c>
      <c r="F34" s="15" t="str">
        <f>CONCATENATE(Tabla1[[#This Row],[NOMBRE_MPIO]]," (",Tabla1[[#This Row],[NOMBRE_DEPTO]],")")</f>
        <v>AMAGa (ANTIOQUIA)</v>
      </c>
      <c r="G34" s="19" t="s">
        <v>139</v>
      </c>
      <c r="I34" s="17" t="s">
        <v>140</v>
      </c>
      <c r="J34" s="18">
        <v>96</v>
      </c>
    </row>
    <row r="35" spans="1:10" x14ac:dyDescent="0.15">
      <c r="A35" s="19">
        <v>5</v>
      </c>
      <c r="B35" s="14" t="s">
        <v>9</v>
      </c>
      <c r="C35" s="14" t="s">
        <v>141</v>
      </c>
      <c r="D35" s="14" t="s">
        <v>142</v>
      </c>
      <c r="E35" s="14" t="s">
        <v>143</v>
      </c>
      <c r="F35" s="15" t="str">
        <f>CONCATENATE(Tabla1[[#This Row],[NOMBRE_MPIO]]," (",Tabla1[[#This Row],[NOMBRE_DEPTO]],")")</f>
        <v>AMALFI (ANTIOQUIA)</v>
      </c>
      <c r="G35" s="19" t="s">
        <v>143</v>
      </c>
      <c r="I35" s="14" t="s">
        <v>144</v>
      </c>
      <c r="J35" s="19">
        <v>100</v>
      </c>
    </row>
    <row r="36" spans="1:10" x14ac:dyDescent="0.15">
      <c r="A36" s="19">
        <v>73</v>
      </c>
      <c r="B36" s="14" t="s">
        <v>117</v>
      </c>
      <c r="C36" s="14" t="s">
        <v>62</v>
      </c>
      <c r="D36" s="14" t="s">
        <v>145</v>
      </c>
      <c r="E36" s="14" t="s">
        <v>146</v>
      </c>
      <c r="F36" s="15" t="str">
        <f>CONCATENATE(Tabla1[[#This Row],[NOMBRE_MPIO]]," (",Tabla1[[#This Row],[NOMBRE_DEPTO]],")")</f>
        <v>AMBALEMA (TOLIMA)</v>
      </c>
      <c r="G36" s="19" t="s">
        <v>146</v>
      </c>
      <c r="I36" s="17" t="s">
        <v>147</v>
      </c>
      <c r="J36" s="18">
        <v>854</v>
      </c>
    </row>
    <row r="37" spans="1:10" x14ac:dyDescent="0.15">
      <c r="A37" s="19">
        <v>25</v>
      </c>
      <c r="B37" s="14" t="s">
        <v>46</v>
      </c>
      <c r="C37" s="14" t="s">
        <v>148</v>
      </c>
      <c r="D37" s="14" t="s">
        <v>149</v>
      </c>
      <c r="E37" s="14" t="s">
        <v>150</v>
      </c>
      <c r="F37" s="15" t="str">
        <f>CONCATENATE(Tabla1[[#This Row],[NOMBRE_MPIO]]," (",Tabla1[[#This Row],[NOMBRE_DEPTO]],")")</f>
        <v>ANAPOIMA (CUNDINAMARCA)</v>
      </c>
      <c r="G37" s="19" t="s">
        <v>150</v>
      </c>
      <c r="I37" s="14" t="s">
        <v>151</v>
      </c>
      <c r="J37" s="19">
        <v>108</v>
      </c>
    </row>
    <row r="38" spans="1:10" x14ac:dyDescent="0.15">
      <c r="A38" s="19">
        <v>52</v>
      </c>
      <c r="B38" s="14" t="s">
        <v>80</v>
      </c>
      <c r="C38" s="14" t="s">
        <v>152</v>
      </c>
      <c r="D38" s="14" t="s">
        <v>153</v>
      </c>
      <c r="E38" s="14" t="s">
        <v>154</v>
      </c>
      <c r="F38" s="15" t="str">
        <f>CONCATENATE(Tabla1[[#This Row],[NOMBRE_MPIO]]," (",Tabla1[[#This Row],[NOMBRE_DEPTO]],")")</f>
        <v>ANCUYA (NARIÑO)</v>
      </c>
      <c r="G38" s="19" t="s">
        <v>154</v>
      </c>
      <c r="I38" s="17" t="s">
        <v>155</v>
      </c>
      <c r="J38" s="18">
        <v>132</v>
      </c>
    </row>
    <row r="39" spans="1:10" x14ac:dyDescent="0.15">
      <c r="A39" s="19">
        <v>76</v>
      </c>
      <c r="B39" s="14" t="s">
        <v>92</v>
      </c>
      <c r="C39" s="14" t="s">
        <v>42</v>
      </c>
      <c r="D39" s="14" t="s">
        <v>156</v>
      </c>
      <c r="E39" s="14" t="s">
        <v>157</v>
      </c>
      <c r="F39" s="15" t="str">
        <f>CONCATENATE(Tabla1[[#This Row],[NOMBRE_MPIO]]," (",Tabla1[[#This Row],[NOMBRE_DEPTO]],")")</f>
        <v>ANDALUCÍA (VALLE DEL CAUCA)</v>
      </c>
      <c r="G39" s="19" t="s">
        <v>157</v>
      </c>
      <c r="I39" s="14" t="s">
        <v>158</v>
      </c>
      <c r="J39" s="19">
        <v>116</v>
      </c>
    </row>
    <row r="40" spans="1:10" x14ac:dyDescent="0.15">
      <c r="A40" s="19">
        <v>5</v>
      </c>
      <c r="B40" s="14" t="s">
        <v>9</v>
      </c>
      <c r="C40" s="14" t="s">
        <v>137</v>
      </c>
      <c r="D40" s="14" t="s">
        <v>159</v>
      </c>
      <c r="E40" s="14" t="s">
        <v>160</v>
      </c>
      <c r="F40" s="15" t="str">
        <f>CONCATENATE(Tabla1[[#This Row],[NOMBRE_MPIO]]," (",Tabla1[[#This Row],[NOMBRE_DEPTO]],")")</f>
        <v>ANDES (ANTIOQUIA)</v>
      </c>
      <c r="G40" s="19" t="s">
        <v>160</v>
      </c>
      <c r="I40" s="17" t="s">
        <v>161</v>
      </c>
      <c r="J40" s="18">
        <v>120</v>
      </c>
    </row>
    <row r="41" spans="1:10" x14ac:dyDescent="0.15">
      <c r="A41" s="19">
        <v>5</v>
      </c>
      <c r="B41" s="14" t="s">
        <v>9</v>
      </c>
      <c r="C41" s="14" t="s">
        <v>137</v>
      </c>
      <c r="D41" s="14" t="s">
        <v>162</v>
      </c>
      <c r="E41" s="14" t="s">
        <v>163</v>
      </c>
      <c r="F41" s="15" t="str">
        <f>CONCATENATE(Tabla1[[#This Row],[NOMBRE_MPIO]]," (",Tabla1[[#This Row],[NOMBRE_DEPTO]],")")</f>
        <v>ANGELOPOLIS (ANTIOQUIA)</v>
      </c>
      <c r="G41" s="19" t="s">
        <v>163</v>
      </c>
      <c r="I41" s="14" t="s">
        <v>164</v>
      </c>
      <c r="J41" s="19">
        <v>124</v>
      </c>
    </row>
    <row r="42" spans="1:10" x14ac:dyDescent="0.15">
      <c r="A42" s="19">
        <v>5</v>
      </c>
      <c r="B42" s="14" t="s">
        <v>9</v>
      </c>
      <c r="C42" s="14" t="s">
        <v>62</v>
      </c>
      <c r="D42" s="14" t="s">
        <v>165</v>
      </c>
      <c r="E42" s="14" t="s">
        <v>166</v>
      </c>
      <c r="F42" s="15" t="str">
        <f>CONCATENATE(Tabla1[[#This Row],[NOMBRE_MPIO]]," (",Tabla1[[#This Row],[NOMBRE_DEPTO]],")")</f>
        <v>ANGOSTURA (ANTIOQUIA)</v>
      </c>
      <c r="G42" s="19" t="s">
        <v>166</v>
      </c>
      <c r="I42" s="17" t="s">
        <v>167</v>
      </c>
      <c r="J42" s="18">
        <v>148</v>
      </c>
    </row>
    <row r="43" spans="1:10" x14ac:dyDescent="0.15">
      <c r="A43" s="19">
        <v>25</v>
      </c>
      <c r="B43" s="14" t="s">
        <v>46</v>
      </c>
      <c r="D43" s="14" t="s">
        <v>168</v>
      </c>
      <c r="E43" s="14" t="s">
        <v>169</v>
      </c>
      <c r="F43" s="15" t="str">
        <f>CONCATENATE(Tabla1[[#This Row],[NOMBRE_MPIO]]," (",Tabla1[[#This Row],[NOMBRE_DEPTO]],")")</f>
        <v>ANOLAIMA (CUNDINAMARCA)</v>
      </c>
      <c r="G43" s="19" t="s">
        <v>169</v>
      </c>
      <c r="I43" s="14" t="s">
        <v>170</v>
      </c>
      <c r="J43" s="19">
        <v>152</v>
      </c>
    </row>
    <row r="44" spans="1:10" x14ac:dyDescent="0.15">
      <c r="A44" s="19">
        <v>5</v>
      </c>
      <c r="B44" s="14" t="s">
        <v>9</v>
      </c>
      <c r="C44" s="14" t="s">
        <v>141</v>
      </c>
      <c r="D44" s="14" t="s">
        <v>171</v>
      </c>
      <c r="E44" s="14" t="s">
        <v>172</v>
      </c>
      <c r="F44" s="15" t="str">
        <f>CONCATENATE(Tabla1[[#This Row],[NOMBRE_MPIO]]," (",Tabla1[[#This Row],[NOMBRE_DEPTO]],")")</f>
        <v>ANORÍ (ANTIOQUIA)</v>
      </c>
      <c r="G44" s="19" t="s">
        <v>172</v>
      </c>
      <c r="I44" s="17" t="s">
        <v>173</v>
      </c>
      <c r="J44" s="18">
        <v>156</v>
      </c>
    </row>
    <row r="45" spans="1:10" x14ac:dyDescent="0.15">
      <c r="A45" s="19">
        <v>17</v>
      </c>
      <c r="B45" s="14" t="s">
        <v>61</v>
      </c>
      <c r="C45" s="14" t="s">
        <v>174</v>
      </c>
      <c r="D45" s="14" t="s">
        <v>175</v>
      </c>
      <c r="E45" s="14" t="s">
        <v>176</v>
      </c>
      <c r="F45" s="15" t="str">
        <f>CONCATENATE(Tabla1[[#This Row],[NOMBRE_MPIO]]," (",Tabla1[[#This Row],[NOMBRE_DEPTO]],")")</f>
        <v>ANSERMA (CALDAS)</v>
      </c>
      <c r="G45" s="19" t="s">
        <v>176</v>
      </c>
      <c r="I45" s="14" t="s">
        <v>177</v>
      </c>
      <c r="J45" s="19">
        <v>196</v>
      </c>
    </row>
    <row r="46" spans="1:10" x14ac:dyDescent="0.15">
      <c r="A46" s="19">
        <v>76</v>
      </c>
      <c r="B46" s="14" t="s">
        <v>92</v>
      </c>
      <c r="D46" s="14" t="s">
        <v>178</v>
      </c>
      <c r="E46" s="14" t="s">
        <v>179</v>
      </c>
      <c r="F46" s="15" t="str">
        <f>CONCATENATE(Tabla1[[#This Row],[NOMBRE_MPIO]]," (",Tabla1[[#This Row],[NOMBRE_DEPTO]],")")</f>
        <v>ANSERMANUEVO (VALLE DEL CAUCA)</v>
      </c>
      <c r="G46" s="19" t="s">
        <v>179</v>
      </c>
      <c r="I46" s="17" t="s">
        <v>180</v>
      </c>
      <c r="J46" s="18">
        <v>336</v>
      </c>
    </row>
    <row r="47" spans="1:10" x14ac:dyDescent="0.15">
      <c r="A47" s="19">
        <v>5</v>
      </c>
      <c r="B47" s="14" t="s">
        <v>9</v>
      </c>
      <c r="C47" s="14" t="s">
        <v>15</v>
      </c>
      <c r="D47" s="14" t="s">
        <v>181</v>
      </c>
      <c r="E47" s="14" t="s">
        <v>182</v>
      </c>
      <c r="F47" s="15" t="str">
        <f>CONCATENATE(Tabla1[[#This Row],[NOMBRE_MPIO]]," (",Tabla1[[#This Row],[NOMBRE_DEPTO]],")")</f>
        <v>ANZA (ANTIOQUIA)</v>
      </c>
      <c r="G47" s="19" t="s">
        <v>182</v>
      </c>
      <c r="I47" s="14" t="s">
        <v>183</v>
      </c>
      <c r="J47" s="19">
        <v>170</v>
      </c>
    </row>
    <row r="48" spans="1:10" x14ac:dyDescent="0.15">
      <c r="A48" s="19">
        <v>73</v>
      </c>
      <c r="B48" s="14" t="s">
        <v>117</v>
      </c>
      <c r="D48" s="14" t="s">
        <v>184</v>
      </c>
      <c r="E48" s="14" t="s">
        <v>185</v>
      </c>
      <c r="F48" s="15" t="str">
        <f>CONCATENATE(Tabla1[[#This Row],[NOMBRE_MPIO]]," (",Tabla1[[#This Row],[NOMBRE_DEPTO]],")")</f>
        <v>ANZOÁTEGUI (TOLIMA)</v>
      </c>
      <c r="G48" s="19" t="s">
        <v>185</v>
      </c>
      <c r="I48" s="17" t="s">
        <v>186</v>
      </c>
      <c r="J48" s="18">
        <v>174</v>
      </c>
    </row>
    <row r="49" spans="1:10" x14ac:dyDescent="0.15">
      <c r="A49" s="19">
        <v>5</v>
      </c>
      <c r="B49" s="14" t="s">
        <v>9</v>
      </c>
      <c r="C49" s="14" t="s">
        <v>187</v>
      </c>
      <c r="D49" s="14" t="s">
        <v>188</v>
      </c>
      <c r="E49" s="14" t="s">
        <v>189</v>
      </c>
      <c r="F49" s="15" t="str">
        <f>CONCATENATE(Tabla1[[#This Row],[NOMBRE_MPIO]]," (",Tabla1[[#This Row],[NOMBRE_DEPTO]],")")</f>
        <v>APARTADÓ (ANTIOQUIA)</v>
      </c>
      <c r="G49" s="19" t="s">
        <v>189</v>
      </c>
      <c r="I49" s="14" t="s">
        <v>190</v>
      </c>
      <c r="J49" s="19">
        <v>178</v>
      </c>
    </row>
    <row r="50" spans="1:10" x14ac:dyDescent="0.15">
      <c r="A50" s="19">
        <v>66</v>
      </c>
      <c r="B50" s="14" t="s">
        <v>191</v>
      </c>
      <c r="C50" s="14" t="s">
        <v>192</v>
      </c>
      <c r="D50" s="14" t="s">
        <v>193</v>
      </c>
      <c r="E50" s="14" t="s">
        <v>194</v>
      </c>
      <c r="F50" s="15" t="str">
        <f>CONCATENATE(Tabla1[[#This Row],[NOMBRE_MPIO]]," (",Tabla1[[#This Row],[NOMBRE_DEPTO]],")")</f>
        <v>APÍA (RISARALDA)</v>
      </c>
      <c r="G50" s="19" t="s">
        <v>194</v>
      </c>
      <c r="I50" s="17" t="s">
        <v>195</v>
      </c>
      <c r="J50" s="18">
        <v>180</v>
      </c>
    </row>
    <row r="51" spans="1:10" x14ac:dyDescent="0.15">
      <c r="A51" s="19">
        <v>25</v>
      </c>
      <c r="B51" s="14" t="s">
        <v>46</v>
      </c>
      <c r="D51" s="14" t="s">
        <v>196</v>
      </c>
      <c r="E51" s="14" t="s">
        <v>197</v>
      </c>
      <c r="F51" s="15" t="str">
        <f>CONCATENATE(Tabla1[[#This Row],[NOMBRE_MPIO]]," (",Tabla1[[#This Row],[NOMBRE_DEPTO]],")")</f>
        <v>APULO (CUNDINAMARCA)</v>
      </c>
      <c r="G51" s="19" t="s">
        <v>197</v>
      </c>
      <c r="I51" s="14" t="s">
        <v>198</v>
      </c>
      <c r="J51" s="19">
        <v>408</v>
      </c>
    </row>
    <row r="52" spans="1:10" x14ac:dyDescent="0.15">
      <c r="A52" s="19">
        <v>15</v>
      </c>
      <c r="B52" s="14" t="s">
        <v>113</v>
      </c>
      <c r="C52" s="14" t="s">
        <v>199</v>
      </c>
      <c r="D52" s="14" t="s">
        <v>200</v>
      </c>
      <c r="E52" s="14" t="s">
        <v>201</v>
      </c>
      <c r="F52" s="15" t="str">
        <f>CONCATENATE(Tabla1[[#This Row],[NOMBRE_MPIO]]," (",Tabla1[[#This Row],[NOMBRE_DEPTO]],")")</f>
        <v>AQUITANIA (BOYACÁ)</v>
      </c>
      <c r="G52" s="19" t="s">
        <v>201</v>
      </c>
      <c r="I52" s="17" t="s">
        <v>202</v>
      </c>
      <c r="J52" s="18">
        <v>410</v>
      </c>
    </row>
    <row r="53" spans="1:10" x14ac:dyDescent="0.15">
      <c r="A53" s="19">
        <v>47</v>
      </c>
      <c r="B53" s="14" t="s">
        <v>102</v>
      </c>
      <c r="D53" s="14" t="s">
        <v>203</v>
      </c>
      <c r="E53" s="14" t="s">
        <v>204</v>
      </c>
      <c r="F53" s="15" t="str">
        <f>CONCATENATE(Tabla1[[#This Row],[NOMBRE_MPIO]]," (",Tabla1[[#This Row],[NOMBRE_DEPTO]],")")</f>
        <v>ARACATACA (MAGDALENA)</v>
      </c>
      <c r="G53" s="19" t="s">
        <v>204</v>
      </c>
      <c r="I53" s="14" t="s">
        <v>205</v>
      </c>
      <c r="J53" s="19">
        <v>384</v>
      </c>
    </row>
    <row r="54" spans="1:10" x14ac:dyDescent="0.15">
      <c r="A54" s="19">
        <v>17</v>
      </c>
      <c r="B54" s="14" t="s">
        <v>61</v>
      </c>
      <c r="C54" s="14" t="s">
        <v>62</v>
      </c>
      <c r="D54" s="14" t="s">
        <v>206</v>
      </c>
      <c r="E54" s="14" t="s">
        <v>207</v>
      </c>
      <c r="F54" s="15" t="str">
        <f>CONCATENATE(Tabla1[[#This Row],[NOMBRE_MPIO]]," (",Tabla1[[#This Row],[NOMBRE_DEPTO]],")")</f>
        <v>ARANZAZU (CALDAS)</v>
      </c>
      <c r="G54" s="19" t="s">
        <v>207</v>
      </c>
      <c r="I54" s="17" t="s">
        <v>208</v>
      </c>
      <c r="J54" s="18">
        <v>188</v>
      </c>
    </row>
    <row r="55" spans="1:10" x14ac:dyDescent="0.15">
      <c r="A55" s="19">
        <v>68</v>
      </c>
      <c r="B55" s="14" t="s">
        <v>56</v>
      </c>
      <c r="C55" s="14" t="s">
        <v>209</v>
      </c>
      <c r="D55" s="14" t="s">
        <v>210</v>
      </c>
      <c r="E55" s="14" t="s">
        <v>211</v>
      </c>
      <c r="F55" s="15" t="str">
        <f>CONCATENATE(Tabla1[[#This Row],[NOMBRE_MPIO]]," (",Tabla1[[#This Row],[NOMBRE_DEPTO]],")")</f>
        <v>ARATOCA (SANTANDER)</v>
      </c>
      <c r="G55" s="19" t="s">
        <v>211</v>
      </c>
      <c r="I55" s="14" t="s">
        <v>212</v>
      </c>
      <c r="J55" s="19">
        <v>191</v>
      </c>
    </row>
    <row r="56" spans="1:10" x14ac:dyDescent="0.15">
      <c r="A56" s="19">
        <v>81</v>
      </c>
      <c r="B56" s="14" t="s">
        <v>213</v>
      </c>
      <c r="C56" s="14" t="s">
        <v>213</v>
      </c>
      <c r="D56" s="14" t="s">
        <v>213</v>
      </c>
      <c r="E56" s="14" t="s">
        <v>214</v>
      </c>
      <c r="F56" s="15" t="str">
        <f>CONCATENATE(Tabla1[[#This Row],[NOMBRE_MPIO]]," (",Tabla1[[#This Row],[NOMBRE_DEPTO]],")")</f>
        <v>ARAUCA (ARAUCA)</v>
      </c>
      <c r="G56" s="19" t="s">
        <v>214</v>
      </c>
      <c r="I56" s="17" t="s">
        <v>215</v>
      </c>
      <c r="J56" s="18">
        <v>192</v>
      </c>
    </row>
    <row r="57" spans="1:10" x14ac:dyDescent="0.15">
      <c r="A57" s="19">
        <v>81</v>
      </c>
      <c r="B57" s="14" t="s">
        <v>213</v>
      </c>
      <c r="C57" s="14" t="s">
        <v>213</v>
      </c>
      <c r="D57" s="14" t="s">
        <v>216</v>
      </c>
      <c r="E57" s="14" t="s">
        <v>217</v>
      </c>
      <c r="F57" s="15" t="str">
        <f>CONCATENATE(Tabla1[[#This Row],[NOMBRE_MPIO]]," (",Tabla1[[#This Row],[NOMBRE_DEPTO]],")")</f>
        <v>ARAUQUITA (ARAUCA)</v>
      </c>
      <c r="G57" s="19" t="s">
        <v>217</v>
      </c>
      <c r="I57" s="14" t="s">
        <v>218</v>
      </c>
      <c r="J57" s="19">
        <v>531</v>
      </c>
    </row>
    <row r="58" spans="1:10" x14ac:dyDescent="0.15">
      <c r="A58" s="19">
        <v>25</v>
      </c>
      <c r="B58" s="14" t="s">
        <v>46</v>
      </c>
      <c r="C58" s="14" t="s">
        <v>219</v>
      </c>
      <c r="D58" s="14" t="s">
        <v>220</v>
      </c>
      <c r="E58" s="14" t="s">
        <v>221</v>
      </c>
      <c r="F58" s="15" t="str">
        <f>CONCATENATE(Tabla1[[#This Row],[NOMBRE_MPIO]]," (",Tabla1[[#This Row],[NOMBRE_DEPTO]],")")</f>
        <v>ARBELÁEZ (CUNDINAMARCA)</v>
      </c>
      <c r="G58" s="19" t="s">
        <v>221</v>
      </c>
      <c r="I58" s="17" t="s">
        <v>222</v>
      </c>
      <c r="J58" s="18">
        <v>208</v>
      </c>
    </row>
    <row r="59" spans="1:10" x14ac:dyDescent="0.15">
      <c r="A59" s="19">
        <v>52</v>
      </c>
      <c r="B59" s="14" t="s">
        <v>80</v>
      </c>
      <c r="D59" s="14" t="s">
        <v>223</v>
      </c>
      <c r="E59" s="14" t="s">
        <v>224</v>
      </c>
      <c r="F59" s="15" t="str">
        <f>CONCATENATE(Tabla1[[#This Row],[NOMBRE_MPIO]]," (",Tabla1[[#This Row],[NOMBRE_DEPTO]],")")</f>
        <v>ARBOLEDA (NARIÑO)</v>
      </c>
      <c r="G59" s="19" t="s">
        <v>224</v>
      </c>
      <c r="I59" s="14" t="s">
        <v>225</v>
      </c>
      <c r="J59" s="19">
        <v>212</v>
      </c>
    </row>
    <row r="60" spans="1:10" x14ac:dyDescent="0.15">
      <c r="A60" s="19">
        <v>54</v>
      </c>
      <c r="B60" s="14" t="s">
        <v>14</v>
      </c>
      <c r="C60" s="14" t="s">
        <v>42</v>
      </c>
      <c r="D60" s="14" t="s">
        <v>226</v>
      </c>
      <c r="E60" s="14" t="s">
        <v>227</v>
      </c>
      <c r="F60" s="15" t="str">
        <f>CONCATENATE(Tabla1[[#This Row],[NOMBRE_MPIO]]," (",Tabla1[[#This Row],[NOMBRE_DEPTO]],")")</f>
        <v>ARBOLEDAS (NORTE DE SANTANDER)</v>
      </c>
      <c r="G60" s="19" t="s">
        <v>227</v>
      </c>
      <c r="I60" s="17" t="s">
        <v>228</v>
      </c>
      <c r="J60" s="18">
        <v>218</v>
      </c>
    </row>
    <row r="61" spans="1:10" x14ac:dyDescent="0.15">
      <c r="A61" s="19">
        <v>5</v>
      </c>
      <c r="B61" s="14" t="s">
        <v>9</v>
      </c>
      <c r="C61" s="14" t="s">
        <v>187</v>
      </c>
      <c r="D61" s="14" t="s">
        <v>229</v>
      </c>
      <c r="E61" s="14" t="s">
        <v>230</v>
      </c>
      <c r="F61" s="15" t="str">
        <f>CONCATENATE(Tabla1[[#This Row],[NOMBRE_MPIO]]," (",Tabla1[[#This Row],[NOMBRE_DEPTO]],")")</f>
        <v>ARBOLETES (ANTIOQUIA)</v>
      </c>
      <c r="G61" s="19" t="s">
        <v>230</v>
      </c>
      <c r="I61" s="14" t="s">
        <v>231</v>
      </c>
      <c r="J61" s="19">
        <v>818</v>
      </c>
    </row>
    <row r="62" spans="1:10" x14ac:dyDescent="0.15">
      <c r="A62" s="19">
        <v>15</v>
      </c>
      <c r="B62" s="14" t="s">
        <v>113</v>
      </c>
      <c r="C62" s="14" t="s">
        <v>232</v>
      </c>
      <c r="D62" s="14" t="s">
        <v>233</v>
      </c>
      <c r="E62" s="14" t="s">
        <v>234</v>
      </c>
      <c r="F62" s="15" t="str">
        <f>CONCATENATE(Tabla1[[#This Row],[NOMBRE_MPIO]]," (",Tabla1[[#This Row],[NOMBRE_DEPTO]],")")</f>
        <v>ARCABUCO (BOYACÁ)</v>
      </c>
      <c r="G62" s="19" t="s">
        <v>234</v>
      </c>
      <c r="I62" s="17" t="s">
        <v>235</v>
      </c>
      <c r="J62" s="18">
        <v>222</v>
      </c>
    </row>
    <row r="63" spans="1:10" x14ac:dyDescent="0.15">
      <c r="A63" s="19">
        <v>13</v>
      </c>
      <c r="B63" s="14" t="s">
        <v>37</v>
      </c>
      <c r="C63" s="14" t="s">
        <v>236</v>
      </c>
      <c r="D63" s="14" t="s">
        <v>237</v>
      </c>
      <c r="E63" s="14" t="s">
        <v>238</v>
      </c>
      <c r="F63" s="15" t="str">
        <f>CONCATENATE(Tabla1[[#This Row],[NOMBRE_MPIO]]," (",Tabla1[[#This Row],[NOMBRE_DEPTO]],")")</f>
        <v>ARENAL (BOLIVAR)</v>
      </c>
      <c r="G63" s="19" t="s">
        <v>238</v>
      </c>
      <c r="I63" s="14" t="s">
        <v>239</v>
      </c>
      <c r="J63" s="19">
        <v>784</v>
      </c>
    </row>
    <row r="64" spans="1:10" x14ac:dyDescent="0.15">
      <c r="A64" s="19">
        <v>5</v>
      </c>
      <c r="B64" s="14" t="s">
        <v>9</v>
      </c>
      <c r="C64" s="14" t="s">
        <v>10</v>
      </c>
      <c r="D64" s="14" t="s">
        <v>240</v>
      </c>
      <c r="E64" s="14" t="s">
        <v>241</v>
      </c>
      <c r="F64" s="15" t="str">
        <f>CONCATENATE(Tabla1[[#This Row],[NOMBRE_MPIO]]," (",Tabla1[[#This Row],[NOMBRE_DEPTO]],")")</f>
        <v>ARGELIA (ANTIOQUIA)</v>
      </c>
      <c r="G64" s="19" t="s">
        <v>241</v>
      </c>
      <c r="I64" s="17" t="s">
        <v>242</v>
      </c>
      <c r="J64" s="18">
        <v>232</v>
      </c>
    </row>
    <row r="65" spans="1:10" x14ac:dyDescent="0.15">
      <c r="A65" s="19">
        <v>19</v>
      </c>
      <c r="B65" s="14" t="s">
        <v>109</v>
      </c>
      <c r="C65" s="14" t="s">
        <v>52</v>
      </c>
      <c r="D65" s="14" t="s">
        <v>240</v>
      </c>
      <c r="E65" s="14" t="s">
        <v>243</v>
      </c>
      <c r="F65" s="15" t="str">
        <f>CONCATENATE(Tabla1[[#This Row],[NOMBRE_MPIO]]," (",Tabla1[[#This Row],[NOMBRE_DEPTO]],")")</f>
        <v>ARGELIA (CAUCA)</v>
      </c>
      <c r="G65" s="19" t="s">
        <v>243</v>
      </c>
      <c r="I65" s="14" t="s">
        <v>244</v>
      </c>
      <c r="J65" s="19">
        <v>703</v>
      </c>
    </row>
    <row r="66" spans="1:10" x14ac:dyDescent="0.15">
      <c r="A66" s="19">
        <v>76</v>
      </c>
      <c r="B66" s="14" t="s">
        <v>92</v>
      </c>
      <c r="D66" s="14" t="s">
        <v>240</v>
      </c>
      <c r="E66" s="14" t="s">
        <v>245</v>
      </c>
      <c r="F66" s="15" t="str">
        <f>CONCATENATE(Tabla1[[#This Row],[NOMBRE_MPIO]]," (",Tabla1[[#This Row],[NOMBRE_DEPTO]],")")</f>
        <v>ARGELIA (VALLE DEL CAUCA)</v>
      </c>
      <c r="G66" s="19" t="s">
        <v>245</v>
      </c>
      <c r="I66" s="17" t="s">
        <v>246</v>
      </c>
      <c r="J66" s="18">
        <v>705</v>
      </c>
    </row>
    <row r="67" spans="1:10" x14ac:dyDescent="0.15">
      <c r="A67" s="19">
        <v>47</v>
      </c>
      <c r="B67" s="14" t="s">
        <v>102</v>
      </c>
      <c r="C67" s="14" t="s">
        <v>42</v>
      </c>
      <c r="D67" s="14" t="s">
        <v>247</v>
      </c>
      <c r="E67" s="14" t="s">
        <v>248</v>
      </c>
      <c r="F67" s="15" t="str">
        <f>CONCATENATE(Tabla1[[#This Row],[NOMBRE_MPIO]]," (",Tabla1[[#This Row],[NOMBRE_DEPTO]],")")</f>
        <v>ARIGUANÍ (MAGDALENA)</v>
      </c>
      <c r="G67" s="19" t="s">
        <v>248</v>
      </c>
      <c r="I67" s="14" t="s">
        <v>249</v>
      </c>
      <c r="J67" s="19">
        <v>724</v>
      </c>
    </row>
    <row r="68" spans="1:10" x14ac:dyDescent="0.15">
      <c r="A68" s="19">
        <v>13</v>
      </c>
      <c r="B68" s="14" t="s">
        <v>37</v>
      </c>
      <c r="C68" s="14" t="s">
        <v>250</v>
      </c>
      <c r="D68" s="14" t="s">
        <v>251</v>
      </c>
      <c r="E68" s="14" t="s">
        <v>252</v>
      </c>
      <c r="F68" s="15" t="str">
        <f>CONCATENATE(Tabla1[[#This Row],[NOMBRE_MPIO]]," (",Tabla1[[#This Row],[NOMBRE_DEPTO]],")")</f>
        <v>ARJONA (BOLIVAR)</v>
      </c>
      <c r="G68" s="19" t="s">
        <v>252</v>
      </c>
      <c r="I68" s="17" t="s">
        <v>253</v>
      </c>
      <c r="J68" s="18">
        <v>840</v>
      </c>
    </row>
    <row r="69" spans="1:10" x14ac:dyDescent="0.15">
      <c r="A69" s="19">
        <v>5</v>
      </c>
      <c r="B69" s="14" t="s">
        <v>9</v>
      </c>
      <c r="C69" s="14" t="s">
        <v>15</v>
      </c>
      <c r="D69" s="14" t="s">
        <v>69</v>
      </c>
      <c r="E69" s="14" t="s">
        <v>254</v>
      </c>
      <c r="F69" s="15" t="str">
        <f>CONCATENATE(Tabla1[[#This Row],[NOMBRE_MPIO]]," (",Tabla1[[#This Row],[NOMBRE_DEPTO]],")")</f>
        <v>ARMENIA (ANTIOQUIA)</v>
      </c>
      <c r="G69" s="19" t="s">
        <v>254</v>
      </c>
      <c r="I69" s="14" t="s">
        <v>255</v>
      </c>
      <c r="J69" s="19">
        <v>233</v>
      </c>
    </row>
    <row r="70" spans="1:10" x14ac:dyDescent="0.15">
      <c r="A70" s="19">
        <v>63</v>
      </c>
      <c r="B70" s="14" t="s">
        <v>256</v>
      </c>
      <c r="C70" s="14" t="s">
        <v>257</v>
      </c>
      <c r="D70" s="14" t="s">
        <v>69</v>
      </c>
      <c r="E70" s="14" t="s">
        <v>258</v>
      </c>
      <c r="F70" s="15" t="str">
        <f>CONCATENATE(Tabla1[[#This Row],[NOMBRE_MPIO]]," (",Tabla1[[#This Row],[NOMBRE_DEPTO]],")")</f>
        <v>ARMENIA (QUINDIO)</v>
      </c>
      <c r="G70" s="19" t="s">
        <v>258</v>
      </c>
      <c r="I70" s="17" t="s">
        <v>259</v>
      </c>
      <c r="J70" s="18">
        <v>231</v>
      </c>
    </row>
    <row r="71" spans="1:10" x14ac:dyDescent="0.15">
      <c r="A71" s="19">
        <v>73</v>
      </c>
      <c r="B71" s="14" t="s">
        <v>117</v>
      </c>
      <c r="D71" s="14" t="s">
        <v>260</v>
      </c>
      <c r="E71" s="14" t="s">
        <v>261</v>
      </c>
      <c r="F71" s="15" t="str">
        <f>CONCATENATE(Tabla1[[#This Row],[NOMBRE_MPIO]]," (",Tabla1[[#This Row],[NOMBRE_DEPTO]],")")</f>
        <v>ARMERO (TOLIMA)</v>
      </c>
      <c r="G71" s="19" t="s">
        <v>261</v>
      </c>
      <c r="I71" s="14" t="s">
        <v>262</v>
      </c>
      <c r="J71" s="19">
        <v>242</v>
      </c>
    </row>
    <row r="72" spans="1:10" x14ac:dyDescent="0.15">
      <c r="A72" s="19">
        <v>13</v>
      </c>
      <c r="B72" s="14" t="s">
        <v>37</v>
      </c>
      <c r="C72" s="14" t="s">
        <v>250</v>
      </c>
      <c r="D72" s="14" t="s">
        <v>263</v>
      </c>
      <c r="E72" s="14" t="s">
        <v>264</v>
      </c>
      <c r="F72" s="15" t="str">
        <f>CONCATENATE(Tabla1[[#This Row],[NOMBRE_MPIO]]," (",Tabla1[[#This Row],[NOMBRE_DEPTO]],")")</f>
        <v>ARROYOHONDO (BOLIVAR)</v>
      </c>
      <c r="G72" s="19" t="s">
        <v>264</v>
      </c>
      <c r="I72" s="17" t="s">
        <v>265</v>
      </c>
      <c r="J72" s="18">
        <v>608</v>
      </c>
    </row>
    <row r="73" spans="1:10" x14ac:dyDescent="0.15">
      <c r="A73" s="19">
        <v>20</v>
      </c>
      <c r="B73" s="14" t="s">
        <v>51</v>
      </c>
      <c r="C73" s="14" t="s">
        <v>266</v>
      </c>
      <c r="D73" s="14" t="s">
        <v>267</v>
      </c>
      <c r="E73" s="14" t="s">
        <v>268</v>
      </c>
      <c r="F73" s="15" t="str">
        <f>CONCATENATE(Tabla1[[#This Row],[NOMBRE_MPIO]]," (",Tabla1[[#This Row],[NOMBRE_DEPTO]],")")</f>
        <v>ASTREA (CESAR)</v>
      </c>
      <c r="G73" s="19" t="s">
        <v>268</v>
      </c>
      <c r="I73" s="14" t="s">
        <v>269</v>
      </c>
      <c r="J73" s="19">
        <v>246</v>
      </c>
    </row>
    <row r="74" spans="1:10" x14ac:dyDescent="0.15">
      <c r="A74" s="19">
        <v>73</v>
      </c>
      <c r="B74" s="14" t="s">
        <v>117</v>
      </c>
      <c r="C74" s="14" t="s">
        <v>33</v>
      </c>
      <c r="D74" s="14" t="s">
        <v>270</v>
      </c>
      <c r="E74" s="14" t="s">
        <v>271</v>
      </c>
      <c r="F74" s="15" t="str">
        <f>CONCATENATE(Tabla1[[#This Row],[NOMBRE_MPIO]]," (",Tabla1[[#This Row],[NOMBRE_DEPTO]],")")</f>
        <v>ATACO (TOLIMA)</v>
      </c>
      <c r="G74" s="19" t="s">
        <v>271</v>
      </c>
      <c r="I74" s="17" t="s">
        <v>272</v>
      </c>
      <c r="J74" s="18">
        <v>250</v>
      </c>
    </row>
    <row r="75" spans="1:10" x14ac:dyDescent="0.15">
      <c r="A75" s="19">
        <v>27</v>
      </c>
      <c r="B75" s="14" t="s">
        <v>27</v>
      </c>
      <c r="C75" s="14" t="s">
        <v>273</v>
      </c>
      <c r="D75" s="14" t="s">
        <v>273</v>
      </c>
      <c r="E75" s="14" t="s">
        <v>274</v>
      </c>
      <c r="F75" s="15" t="str">
        <f>CONCATENATE(Tabla1[[#This Row],[NOMBRE_MPIO]]," (",Tabla1[[#This Row],[NOMBRE_DEPTO]],")")</f>
        <v>ATRATO (CHOCO)</v>
      </c>
      <c r="G75" s="19" t="s">
        <v>274</v>
      </c>
      <c r="I75" s="14" t="s">
        <v>275</v>
      </c>
      <c r="J75" s="19">
        <v>266</v>
      </c>
    </row>
    <row r="76" spans="1:10" x14ac:dyDescent="0.15">
      <c r="A76" s="19">
        <v>23</v>
      </c>
      <c r="B76" s="14" t="s">
        <v>276</v>
      </c>
      <c r="C76" s="14" t="s">
        <v>277</v>
      </c>
      <c r="D76" s="14" t="s">
        <v>278</v>
      </c>
      <c r="E76" s="14" t="s">
        <v>279</v>
      </c>
      <c r="F76" s="15" t="str">
        <f>CONCATENATE(Tabla1[[#This Row],[NOMBRE_MPIO]]," (",Tabla1[[#This Row],[NOMBRE_DEPTO]],")")</f>
        <v>AYAPEL (CORDOBA)</v>
      </c>
      <c r="G76" s="19" t="s">
        <v>279</v>
      </c>
      <c r="I76" s="17" t="s">
        <v>280</v>
      </c>
      <c r="J76" s="18">
        <v>270</v>
      </c>
    </row>
    <row r="77" spans="1:10" x14ac:dyDescent="0.15">
      <c r="A77" s="19">
        <v>27</v>
      </c>
      <c r="B77" s="14" t="s">
        <v>27</v>
      </c>
      <c r="C77" s="14" t="s">
        <v>273</v>
      </c>
      <c r="D77" s="14" t="s">
        <v>281</v>
      </c>
      <c r="E77" s="14" t="s">
        <v>282</v>
      </c>
      <c r="F77" s="15" t="str">
        <f>CONCATENATE(Tabla1[[#This Row],[NOMBRE_MPIO]]," (",Tabla1[[#This Row],[NOMBRE_DEPTO]],")")</f>
        <v>BAGADÓ (CHOCO)</v>
      </c>
      <c r="G77" s="19" t="s">
        <v>282</v>
      </c>
      <c r="I77" s="14" t="s">
        <v>283</v>
      </c>
      <c r="J77" s="19">
        <v>268</v>
      </c>
    </row>
    <row r="78" spans="1:10" x14ac:dyDescent="0.15">
      <c r="A78" s="19">
        <v>27</v>
      </c>
      <c r="B78" s="14" t="s">
        <v>27</v>
      </c>
      <c r="C78" s="14" t="s">
        <v>284</v>
      </c>
      <c r="D78" s="14" t="s">
        <v>285</v>
      </c>
      <c r="E78" s="14" t="s">
        <v>286</v>
      </c>
      <c r="F78" s="15" t="str">
        <f>CONCATENATE(Tabla1[[#This Row],[NOMBRE_MPIO]]," (",Tabla1[[#This Row],[NOMBRE_DEPTO]],")")</f>
        <v>BAHÍA SOLANO (CHOCO)</v>
      </c>
      <c r="G78" s="19" t="s">
        <v>286</v>
      </c>
      <c r="I78" s="17" t="s">
        <v>287</v>
      </c>
      <c r="J78" s="18">
        <v>239</v>
      </c>
    </row>
    <row r="79" spans="1:10" x14ac:dyDescent="0.15">
      <c r="A79" s="19">
        <v>27</v>
      </c>
      <c r="B79" s="14" t="s">
        <v>27</v>
      </c>
      <c r="C79" s="14" t="s">
        <v>125</v>
      </c>
      <c r="D79" s="14" t="s">
        <v>288</v>
      </c>
      <c r="E79" s="14" t="s">
        <v>289</v>
      </c>
      <c r="F79" s="15" t="str">
        <f>CONCATENATE(Tabla1[[#This Row],[NOMBRE_MPIO]]," (",Tabla1[[#This Row],[NOMBRE_DEPTO]],")")</f>
        <v>BAJO BAUDÓ (CHOCO)</v>
      </c>
      <c r="G79" s="19" t="s">
        <v>289</v>
      </c>
      <c r="I79" s="14" t="s">
        <v>290</v>
      </c>
      <c r="J79" s="19">
        <v>288</v>
      </c>
    </row>
    <row r="80" spans="1:10" x14ac:dyDescent="0.15">
      <c r="A80" s="19">
        <v>19</v>
      </c>
      <c r="B80" s="14" t="s">
        <v>109</v>
      </c>
      <c r="C80" s="14" t="s">
        <v>52</v>
      </c>
      <c r="D80" s="14" t="s">
        <v>291</v>
      </c>
      <c r="E80" s="14" t="s">
        <v>292</v>
      </c>
      <c r="F80" s="15" t="str">
        <f>CONCATENATE(Tabla1[[#This Row],[NOMBRE_MPIO]]," (",Tabla1[[#This Row],[NOMBRE_DEPTO]],")")</f>
        <v>BALBOA (CAUCA)</v>
      </c>
      <c r="G80" s="19" t="s">
        <v>292</v>
      </c>
      <c r="I80" s="17" t="s">
        <v>293</v>
      </c>
      <c r="J80" s="18">
        <v>292</v>
      </c>
    </row>
    <row r="81" spans="1:10" x14ac:dyDescent="0.15">
      <c r="A81" s="19">
        <v>66</v>
      </c>
      <c r="B81" s="14" t="s">
        <v>191</v>
      </c>
      <c r="D81" s="14" t="s">
        <v>291</v>
      </c>
      <c r="E81" s="14" t="s">
        <v>294</v>
      </c>
      <c r="F81" s="15" t="str">
        <f>CONCATENATE(Tabla1[[#This Row],[NOMBRE_MPIO]]," (",Tabla1[[#This Row],[NOMBRE_DEPTO]],")")</f>
        <v>BALBOA (RISARALDA)</v>
      </c>
      <c r="G81" s="19" t="s">
        <v>294</v>
      </c>
      <c r="I81" s="14" t="s">
        <v>295</v>
      </c>
      <c r="J81" s="19">
        <v>308</v>
      </c>
    </row>
    <row r="82" spans="1:10" x14ac:dyDescent="0.15">
      <c r="A82" s="19">
        <v>8</v>
      </c>
      <c r="B82" s="14" t="s">
        <v>296</v>
      </c>
      <c r="C82" s="14" t="s">
        <v>297</v>
      </c>
      <c r="D82" s="14" t="s">
        <v>298</v>
      </c>
      <c r="E82" s="14" t="s">
        <v>299</v>
      </c>
      <c r="F82" s="15" t="str">
        <f>CONCATENATE(Tabla1[[#This Row],[NOMBRE_MPIO]]," (",Tabla1[[#This Row],[NOMBRE_DEPTO]],")")</f>
        <v>BARANOA (ATLÁNTICO)</v>
      </c>
      <c r="G82" s="19" t="s">
        <v>299</v>
      </c>
      <c r="I82" s="17" t="s">
        <v>300</v>
      </c>
      <c r="J82" s="18">
        <v>300</v>
      </c>
    </row>
    <row r="83" spans="1:10" x14ac:dyDescent="0.15">
      <c r="A83" s="19">
        <v>41</v>
      </c>
      <c r="B83" s="14" t="s">
        <v>32</v>
      </c>
      <c r="D83" s="14" t="s">
        <v>301</v>
      </c>
      <c r="E83" s="14" t="s">
        <v>302</v>
      </c>
      <c r="F83" s="15" t="str">
        <f>CONCATENATE(Tabla1[[#This Row],[NOMBRE_MPIO]]," (",Tabla1[[#This Row],[NOMBRE_DEPTO]],")")</f>
        <v>BARAYA (HUILA)</v>
      </c>
      <c r="G83" s="19" t="s">
        <v>302</v>
      </c>
      <c r="I83" s="14" t="s">
        <v>303</v>
      </c>
      <c r="J83" s="19">
        <v>304</v>
      </c>
    </row>
    <row r="84" spans="1:10" x14ac:dyDescent="0.15">
      <c r="A84" s="19">
        <v>52</v>
      </c>
      <c r="B84" s="14" t="s">
        <v>80</v>
      </c>
      <c r="C84" s="14" t="s">
        <v>304</v>
      </c>
      <c r="D84" s="14" t="s">
        <v>305</v>
      </c>
      <c r="E84" s="14" t="s">
        <v>306</v>
      </c>
      <c r="F84" s="15" t="str">
        <f>CONCATENATE(Tabla1[[#This Row],[NOMBRE_MPIO]]," (",Tabla1[[#This Row],[NOMBRE_DEPTO]],")")</f>
        <v>BARBACOAS (NARIÑO)</v>
      </c>
      <c r="G84" s="19" t="s">
        <v>306</v>
      </c>
      <c r="I84" s="17" t="s">
        <v>307</v>
      </c>
      <c r="J84" s="18">
        <v>312</v>
      </c>
    </row>
    <row r="85" spans="1:10" x14ac:dyDescent="0.15">
      <c r="A85" s="19">
        <v>5</v>
      </c>
      <c r="B85" s="14" t="s">
        <v>9</v>
      </c>
      <c r="C85" s="14" t="s">
        <v>308</v>
      </c>
      <c r="D85" s="14" t="s">
        <v>309</v>
      </c>
      <c r="E85" s="14" t="s">
        <v>310</v>
      </c>
      <c r="F85" s="15" t="str">
        <f>CONCATENATE(Tabla1[[#This Row],[NOMBRE_MPIO]]," (",Tabla1[[#This Row],[NOMBRE_DEPTO]],")")</f>
        <v>BARBOSA (ANTIOQUIA)</v>
      </c>
      <c r="G85" s="19" t="s">
        <v>310</v>
      </c>
      <c r="I85" s="14" t="s">
        <v>311</v>
      </c>
      <c r="J85" s="19">
        <v>316</v>
      </c>
    </row>
    <row r="86" spans="1:10" x14ac:dyDescent="0.15">
      <c r="A86" s="19">
        <v>68</v>
      </c>
      <c r="B86" s="14" t="s">
        <v>56</v>
      </c>
      <c r="D86" s="14" t="s">
        <v>309</v>
      </c>
      <c r="E86" s="14" t="s">
        <v>312</v>
      </c>
      <c r="F86" s="15" t="str">
        <f>CONCATENATE(Tabla1[[#This Row],[NOMBRE_MPIO]]," (",Tabla1[[#This Row],[NOMBRE_DEPTO]],")")</f>
        <v>BARBOSA (SANTANDER)</v>
      </c>
      <c r="G86" s="19" t="s">
        <v>312</v>
      </c>
      <c r="I86" s="17" t="s">
        <v>313</v>
      </c>
      <c r="J86" s="18">
        <v>320</v>
      </c>
    </row>
    <row r="87" spans="1:10" x14ac:dyDescent="0.15">
      <c r="A87" s="19">
        <v>68</v>
      </c>
      <c r="B87" s="14" t="s">
        <v>56</v>
      </c>
      <c r="D87" s="14" t="s">
        <v>314</v>
      </c>
      <c r="E87" s="14" t="s">
        <v>315</v>
      </c>
      <c r="F87" s="15" t="str">
        <f>CONCATENATE(Tabla1[[#This Row],[NOMBRE_MPIO]]," (",Tabla1[[#This Row],[NOMBRE_DEPTO]],")")</f>
        <v>BARICHARA (SANTANDER)</v>
      </c>
      <c r="G87" s="19" t="s">
        <v>315</v>
      </c>
      <c r="I87" s="14" t="s">
        <v>316</v>
      </c>
      <c r="J87" s="19">
        <v>328</v>
      </c>
    </row>
    <row r="88" spans="1:10" x14ac:dyDescent="0.15">
      <c r="A88" s="19">
        <v>50</v>
      </c>
      <c r="B88" s="14" t="s">
        <v>22</v>
      </c>
      <c r="D88" s="14" t="s">
        <v>317</v>
      </c>
      <c r="E88" s="14" t="s">
        <v>318</v>
      </c>
      <c r="F88" s="15" t="str">
        <f>CONCATENATE(Tabla1[[#This Row],[NOMBRE_MPIO]]," (",Tabla1[[#This Row],[NOMBRE_DEPTO]],")")</f>
        <v>BARRANCA DE UPIA (META)</v>
      </c>
      <c r="G88" s="19" t="s">
        <v>318</v>
      </c>
      <c r="I88" s="17" t="s">
        <v>319</v>
      </c>
      <c r="J88" s="18">
        <v>254</v>
      </c>
    </row>
    <row r="89" spans="1:10" x14ac:dyDescent="0.15">
      <c r="A89" s="19">
        <v>68</v>
      </c>
      <c r="B89" s="14" t="s">
        <v>56</v>
      </c>
      <c r="C89" s="14" t="s">
        <v>320</v>
      </c>
      <c r="D89" s="14" t="s">
        <v>321</v>
      </c>
      <c r="E89" s="14" t="s">
        <v>322</v>
      </c>
      <c r="F89" s="15" t="str">
        <f>CONCATENATE(Tabla1[[#This Row],[NOMBRE_MPIO]]," (",Tabla1[[#This Row],[NOMBRE_DEPTO]],")")</f>
        <v>BARRANCABERMEJA (SANTANDER)</v>
      </c>
      <c r="G89" s="19" t="s">
        <v>322</v>
      </c>
      <c r="I89" s="14" t="s">
        <v>323</v>
      </c>
      <c r="J89" s="19">
        <v>831</v>
      </c>
    </row>
    <row r="90" spans="1:10" x14ac:dyDescent="0.15">
      <c r="A90" s="19">
        <v>44</v>
      </c>
      <c r="B90" s="14" t="s">
        <v>87</v>
      </c>
      <c r="C90" s="14" t="s">
        <v>33</v>
      </c>
      <c r="D90" s="14" t="s">
        <v>324</v>
      </c>
      <c r="E90" s="14" t="s">
        <v>325</v>
      </c>
      <c r="F90" s="15" t="str">
        <f>CONCATENATE(Tabla1[[#This Row],[NOMBRE_MPIO]]," (",Tabla1[[#This Row],[NOMBRE_DEPTO]],")")</f>
        <v>BARRANCAS (LA GUAJIRA)</v>
      </c>
      <c r="G90" s="19" t="s">
        <v>325</v>
      </c>
      <c r="I90" s="17" t="s">
        <v>326</v>
      </c>
      <c r="J90" s="18">
        <v>324</v>
      </c>
    </row>
    <row r="91" spans="1:10" x14ac:dyDescent="0.15">
      <c r="A91" s="19">
        <v>13</v>
      </c>
      <c r="B91" s="14" t="s">
        <v>37</v>
      </c>
      <c r="C91" s="14" t="s">
        <v>129</v>
      </c>
      <c r="D91" s="14" t="s">
        <v>327</v>
      </c>
      <c r="E91" s="14" t="s">
        <v>328</v>
      </c>
      <c r="F91" s="15" t="str">
        <f>CONCATENATE(Tabla1[[#This Row],[NOMBRE_MPIO]]," (",Tabla1[[#This Row],[NOMBRE_DEPTO]],")")</f>
        <v>BARRANCO DE LOBA (BOLIVAR)</v>
      </c>
      <c r="G91" s="19" t="s">
        <v>328</v>
      </c>
      <c r="I91" s="14" t="s">
        <v>329</v>
      </c>
      <c r="J91" s="19">
        <v>226</v>
      </c>
    </row>
    <row r="92" spans="1:10" x14ac:dyDescent="0.15">
      <c r="A92" s="19">
        <v>94</v>
      </c>
      <c r="B92" s="14" t="s">
        <v>330</v>
      </c>
      <c r="C92" s="14" t="s">
        <v>330</v>
      </c>
      <c r="D92" s="14" t="s">
        <v>331</v>
      </c>
      <c r="E92" s="14" t="s">
        <v>332</v>
      </c>
      <c r="F92" s="15" t="str">
        <f>CONCATENATE(Tabla1[[#This Row],[NOMBRE_MPIO]]," (",Tabla1[[#This Row],[NOMBRE_DEPTO]],")")</f>
        <v>BARRANCO MINA (GUAINIA)</v>
      </c>
      <c r="G92" s="19" t="s">
        <v>332</v>
      </c>
      <c r="I92" s="17" t="s">
        <v>333</v>
      </c>
      <c r="J92" s="18">
        <v>624</v>
      </c>
    </row>
    <row r="93" spans="1:10" x14ac:dyDescent="0.15">
      <c r="A93" s="19">
        <v>8</v>
      </c>
      <c r="B93" s="14" t="s">
        <v>296</v>
      </c>
      <c r="C93" s="14" t="s">
        <v>62</v>
      </c>
      <c r="D93" s="14" t="s">
        <v>334</v>
      </c>
      <c r="E93" s="14" t="s">
        <v>335</v>
      </c>
      <c r="F93" s="15" t="str">
        <f>CONCATENATE(Tabla1[[#This Row],[NOMBRE_MPIO]]," (",Tabla1[[#This Row],[NOMBRE_DEPTO]],")")</f>
        <v>BARRANQUILLA (ATLÁNTICO)</v>
      </c>
      <c r="G93" s="19" t="s">
        <v>335</v>
      </c>
      <c r="I93" s="14" t="s">
        <v>336</v>
      </c>
      <c r="J93" s="19">
        <v>332</v>
      </c>
    </row>
    <row r="94" spans="1:10" x14ac:dyDescent="0.15">
      <c r="A94" s="19">
        <v>20</v>
      </c>
      <c r="B94" s="14" t="s">
        <v>51</v>
      </c>
      <c r="C94" s="14" t="s">
        <v>337</v>
      </c>
      <c r="D94" s="14" t="s">
        <v>338</v>
      </c>
      <c r="E94" s="14" t="s">
        <v>339</v>
      </c>
      <c r="F94" s="15" t="str">
        <f>CONCATENATE(Tabla1[[#This Row],[NOMBRE_MPIO]]," (",Tabla1[[#This Row],[NOMBRE_DEPTO]],")")</f>
        <v>BECERRIL (CESAR)</v>
      </c>
      <c r="G94" s="19" t="s">
        <v>339</v>
      </c>
      <c r="I94" s="17" t="s">
        <v>340</v>
      </c>
      <c r="J94" s="18">
        <v>340</v>
      </c>
    </row>
    <row r="95" spans="1:10" x14ac:dyDescent="0.15">
      <c r="A95" s="19">
        <v>17</v>
      </c>
      <c r="B95" s="14" t="s">
        <v>61</v>
      </c>
      <c r="C95" s="14" t="s">
        <v>174</v>
      </c>
      <c r="D95" s="14" t="s">
        <v>341</v>
      </c>
      <c r="E95" s="14" t="s">
        <v>342</v>
      </c>
      <c r="F95" s="15" t="str">
        <f>CONCATENATE(Tabla1[[#This Row],[NOMBRE_MPIO]]," (",Tabla1[[#This Row],[NOMBRE_DEPTO]],")")</f>
        <v>BELALCÁZAR (CALDAS)</v>
      </c>
      <c r="G95" s="19" t="s">
        <v>342</v>
      </c>
      <c r="I95" s="14" t="s">
        <v>343</v>
      </c>
      <c r="J95" s="19">
        <v>344</v>
      </c>
    </row>
    <row r="96" spans="1:10" x14ac:dyDescent="0.15">
      <c r="A96" s="19">
        <v>15</v>
      </c>
      <c r="B96" s="14" t="s">
        <v>113</v>
      </c>
      <c r="C96" s="14" t="s">
        <v>344</v>
      </c>
      <c r="D96" s="14" t="s">
        <v>345</v>
      </c>
      <c r="E96" s="14" t="s">
        <v>346</v>
      </c>
      <c r="F96" s="15" t="str">
        <f>CONCATENATE(Tabla1[[#This Row],[NOMBRE_MPIO]]," (",Tabla1[[#This Row],[NOMBRE_DEPTO]],")")</f>
        <v>BELÉN (BOYACÁ)</v>
      </c>
      <c r="G96" s="19" t="s">
        <v>346</v>
      </c>
      <c r="I96" s="17" t="s">
        <v>347</v>
      </c>
      <c r="J96" s="18">
        <v>348</v>
      </c>
    </row>
    <row r="97" spans="1:10" x14ac:dyDescent="0.15">
      <c r="A97" s="19">
        <v>52</v>
      </c>
      <c r="B97" s="14" t="s">
        <v>80</v>
      </c>
      <c r="D97" s="14" t="s">
        <v>348</v>
      </c>
      <c r="E97" s="14" t="s">
        <v>349</v>
      </c>
      <c r="F97" s="15" t="str">
        <f>CONCATENATE(Tabla1[[#This Row],[NOMBRE_MPIO]]," (",Tabla1[[#This Row],[NOMBRE_DEPTO]],")")</f>
        <v>BELEN (NARIÑO)</v>
      </c>
      <c r="G97" s="19" t="s">
        <v>349</v>
      </c>
      <c r="I97" s="14" t="s">
        <v>350</v>
      </c>
      <c r="J97" s="19">
        <v>356</v>
      </c>
    </row>
    <row r="98" spans="1:10" x14ac:dyDescent="0.15">
      <c r="A98" s="19">
        <v>27</v>
      </c>
      <c r="B98" s="14" t="s">
        <v>27</v>
      </c>
      <c r="C98" s="14" t="s">
        <v>28</v>
      </c>
      <c r="D98" s="14" t="s">
        <v>351</v>
      </c>
      <c r="E98" s="14" t="s">
        <v>352</v>
      </c>
      <c r="F98" s="15" t="str">
        <f>CONCATENATE(Tabla1[[#This Row],[NOMBRE_MPIO]]," (",Tabla1[[#This Row],[NOMBRE_DEPTO]],")")</f>
        <v>BELÉN DE BAJIRA (CHOCO)</v>
      </c>
      <c r="G98" s="19" t="s">
        <v>352</v>
      </c>
      <c r="I98" s="17" t="s">
        <v>353</v>
      </c>
      <c r="J98" s="18">
        <v>360</v>
      </c>
    </row>
    <row r="99" spans="1:10" x14ac:dyDescent="0.15">
      <c r="A99" s="19">
        <v>18</v>
      </c>
      <c r="B99" s="14" t="s">
        <v>84</v>
      </c>
      <c r="C99" s="14" t="s">
        <v>84</v>
      </c>
      <c r="D99" s="14" t="s">
        <v>354</v>
      </c>
      <c r="E99" s="14" t="s">
        <v>355</v>
      </c>
      <c r="F99" s="15" t="str">
        <f>CONCATENATE(Tabla1[[#This Row],[NOMBRE_MPIO]]," (",Tabla1[[#This Row],[NOMBRE_DEPTO]],")")</f>
        <v>BELÉN DE LOS ANDAQUIES (CAQUETA)</v>
      </c>
      <c r="G99" s="19" t="s">
        <v>355</v>
      </c>
      <c r="I99" s="14" t="s">
        <v>356</v>
      </c>
      <c r="J99" s="19">
        <v>368</v>
      </c>
    </row>
    <row r="100" spans="1:10" x14ac:dyDescent="0.15">
      <c r="A100" s="19">
        <v>66</v>
      </c>
      <c r="B100" s="14" t="s">
        <v>191</v>
      </c>
      <c r="D100" s="14" t="s">
        <v>357</v>
      </c>
      <c r="E100" s="14" t="s">
        <v>358</v>
      </c>
      <c r="F100" s="15" t="str">
        <f>CONCATENATE(Tabla1[[#This Row],[NOMBRE_MPIO]]," (",Tabla1[[#This Row],[NOMBRE_DEPTO]],")")</f>
        <v>BELÉN DE UMBRÍA (RISARALDA)</v>
      </c>
      <c r="G100" s="19" t="s">
        <v>358</v>
      </c>
      <c r="I100" s="17" t="s">
        <v>359</v>
      </c>
      <c r="J100" s="18">
        <v>364</v>
      </c>
    </row>
    <row r="101" spans="1:10" x14ac:dyDescent="0.15">
      <c r="A101" s="19">
        <v>5</v>
      </c>
      <c r="B101" s="14" t="s">
        <v>9</v>
      </c>
      <c r="C101" s="14" t="s">
        <v>308</v>
      </c>
      <c r="D101" s="14" t="s">
        <v>360</v>
      </c>
      <c r="E101" s="14" t="s">
        <v>361</v>
      </c>
      <c r="F101" s="15" t="str">
        <f>CONCATENATE(Tabla1[[#This Row],[NOMBRE_MPIO]]," (",Tabla1[[#This Row],[NOMBRE_DEPTO]],")")</f>
        <v>BELLO (ANTIOQUIA)</v>
      </c>
      <c r="G101" s="19" t="s">
        <v>361</v>
      </c>
      <c r="I101" s="14" t="s">
        <v>362</v>
      </c>
      <c r="J101" s="19">
        <v>372</v>
      </c>
    </row>
    <row r="102" spans="1:10" x14ac:dyDescent="0.15">
      <c r="A102" s="19">
        <v>5</v>
      </c>
      <c r="B102" s="14" t="s">
        <v>9</v>
      </c>
      <c r="C102" s="14" t="s">
        <v>62</v>
      </c>
      <c r="D102" s="14" t="s">
        <v>363</v>
      </c>
      <c r="E102" s="14" t="s">
        <v>364</v>
      </c>
      <c r="F102" s="15" t="str">
        <f>CONCATENATE(Tabla1[[#This Row],[NOMBRE_MPIO]]," (",Tabla1[[#This Row],[NOMBRE_DEPTO]],")")</f>
        <v>BELMIRA (ANTIOQUIA)</v>
      </c>
      <c r="G102" s="19" t="s">
        <v>364</v>
      </c>
      <c r="I102" s="17" t="s">
        <v>365</v>
      </c>
      <c r="J102" s="18">
        <v>74</v>
      </c>
    </row>
    <row r="103" spans="1:10" x14ac:dyDescent="0.15">
      <c r="A103" s="19">
        <v>25</v>
      </c>
      <c r="B103" s="14" t="s">
        <v>46</v>
      </c>
      <c r="C103" s="14" t="s">
        <v>366</v>
      </c>
      <c r="D103" s="14" t="s">
        <v>367</v>
      </c>
      <c r="E103" s="14" t="s">
        <v>368</v>
      </c>
      <c r="F103" s="15" t="str">
        <f>CONCATENATE(Tabla1[[#This Row],[NOMBRE_MPIO]]," (",Tabla1[[#This Row],[NOMBRE_DEPTO]],")")</f>
        <v>BELTRÁN (CUNDINAMARCA)</v>
      </c>
      <c r="G103" s="19" t="s">
        <v>368</v>
      </c>
      <c r="I103" s="14" t="s">
        <v>369</v>
      </c>
      <c r="J103" s="19">
        <v>833</v>
      </c>
    </row>
    <row r="104" spans="1:10" x14ac:dyDescent="0.15">
      <c r="A104" s="19">
        <v>15</v>
      </c>
      <c r="B104" s="14" t="s">
        <v>113</v>
      </c>
      <c r="C104" s="14" t="s">
        <v>370</v>
      </c>
      <c r="D104" s="14" t="s">
        <v>371</v>
      </c>
      <c r="E104" s="14" t="s">
        <v>372</v>
      </c>
      <c r="F104" s="15" t="str">
        <f>CONCATENATE(Tabla1[[#This Row],[NOMBRE_MPIO]]," (",Tabla1[[#This Row],[NOMBRE_DEPTO]],")")</f>
        <v>BERBEO (BOYACÁ)</v>
      </c>
      <c r="G104" s="19" t="s">
        <v>372</v>
      </c>
      <c r="I104" s="17" t="s">
        <v>373</v>
      </c>
      <c r="J104" s="18">
        <v>352</v>
      </c>
    </row>
    <row r="105" spans="1:10" x14ac:dyDescent="0.15">
      <c r="A105" s="19">
        <v>5</v>
      </c>
      <c r="B105" s="14" t="s">
        <v>9</v>
      </c>
      <c r="C105" s="14" t="s">
        <v>137</v>
      </c>
      <c r="D105" s="14" t="s">
        <v>374</v>
      </c>
      <c r="E105" s="14" t="s">
        <v>375</v>
      </c>
      <c r="F105" s="15" t="str">
        <f>CONCATENATE(Tabla1[[#This Row],[NOMBRE_MPIO]]," (",Tabla1[[#This Row],[NOMBRE_DEPTO]],")")</f>
        <v>BETANIA (ANTIOQUIA)</v>
      </c>
      <c r="G105" s="19" t="s">
        <v>375</v>
      </c>
      <c r="I105" s="14" t="s">
        <v>376</v>
      </c>
      <c r="J105" s="19">
        <v>248</v>
      </c>
    </row>
    <row r="106" spans="1:10" x14ac:dyDescent="0.15">
      <c r="A106" s="19">
        <v>15</v>
      </c>
      <c r="B106" s="14" t="s">
        <v>113</v>
      </c>
      <c r="C106" s="14" t="s">
        <v>377</v>
      </c>
      <c r="D106" s="14" t="s">
        <v>378</v>
      </c>
      <c r="E106" s="14" t="s">
        <v>379</v>
      </c>
      <c r="F106" s="15" t="str">
        <f>CONCATENATE(Tabla1[[#This Row],[NOMBRE_MPIO]]," (",Tabla1[[#This Row],[NOMBRE_DEPTO]],")")</f>
        <v>BETÉITIVA (BOYACÁ)</v>
      </c>
      <c r="G106" s="19" t="s">
        <v>379</v>
      </c>
      <c r="I106" s="17" t="s">
        <v>380</v>
      </c>
      <c r="J106" s="18">
        <v>136</v>
      </c>
    </row>
    <row r="107" spans="1:10" x14ac:dyDescent="0.15">
      <c r="A107" s="19">
        <v>5</v>
      </c>
      <c r="B107" s="14" t="s">
        <v>9</v>
      </c>
      <c r="C107" s="14" t="s">
        <v>137</v>
      </c>
      <c r="D107" s="14" t="s">
        <v>381</v>
      </c>
      <c r="E107" s="14" t="s">
        <v>382</v>
      </c>
      <c r="F107" s="15" t="str">
        <f>CONCATENATE(Tabla1[[#This Row],[NOMBRE_MPIO]]," (",Tabla1[[#This Row],[NOMBRE_DEPTO]],")")</f>
        <v>BETULIA (ANTIOQUIA)</v>
      </c>
      <c r="G107" s="19" t="s">
        <v>382</v>
      </c>
      <c r="I107" s="14" t="s">
        <v>383</v>
      </c>
      <c r="J107" s="19">
        <v>162</v>
      </c>
    </row>
    <row r="108" spans="1:10" x14ac:dyDescent="0.15">
      <c r="A108" s="19">
        <v>68</v>
      </c>
      <c r="B108" s="14" t="s">
        <v>56</v>
      </c>
      <c r="D108" s="14" t="s">
        <v>381</v>
      </c>
      <c r="E108" s="14" t="s">
        <v>384</v>
      </c>
      <c r="F108" s="15" t="str">
        <f>CONCATENATE(Tabla1[[#This Row],[NOMBRE_MPIO]]," (",Tabla1[[#This Row],[NOMBRE_DEPTO]],")")</f>
        <v>BETULIA (SANTANDER)</v>
      </c>
      <c r="G108" s="19" t="s">
        <v>384</v>
      </c>
      <c r="I108" s="17" t="s">
        <v>385</v>
      </c>
      <c r="J108" s="18">
        <v>166</v>
      </c>
    </row>
    <row r="109" spans="1:10" x14ac:dyDescent="0.15">
      <c r="A109" s="19">
        <v>25</v>
      </c>
      <c r="B109" s="14" t="s">
        <v>46</v>
      </c>
      <c r="D109" s="14" t="s">
        <v>386</v>
      </c>
      <c r="E109" s="14" t="s">
        <v>387</v>
      </c>
      <c r="F109" s="15" t="str">
        <f>CONCATENATE(Tabla1[[#This Row],[NOMBRE_MPIO]]," (",Tabla1[[#This Row],[NOMBRE_DEPTO]],")")</f>
        <v>BITUIMA (CUNDINAMARCA)</v>
      </c>
      <c r="G109" s="19" t="s">
        <v>387</v>
      </c>
      <c r="I109" s="14" t="s">
        <v>388</v>
      </c>
      <c r="J109" s="19">
        <v>184</v>
      </c>
    </row>
    <row r="110" spans="1:10" x14ac:dyDescent="0.15">
      <c r="A110" s="19">
        <v>15</v>
      </c>
      <c r="B110" s="14" t="s">
        <v>113</v>
      </c>
      <c r="C110" s="14" t="s">
        <v>62</v>
      </c>
      <c r="D110" s="14" t="s">
        <v>389</v>
      </c>
      <c r="E110" s="14" t="s">
        <v>390</v>
      </c>
      <c r="F110" s="15" t="str">
        <f>CONCATENATE(Tabla1[[#This Row],[NOMBRE_MPIO]]," (",Tabla1[[#This Row],[NOMBRE_DEPTO]],")")</f>
        <v>BOAVITA (BOYACÁ)</v>
      </c>
      <c r="G110" s="19" t="s">
        <v>390</v>
      </c>
      <c r="I110" s="17" t="s">
        <v>391</v>
      </c>
      <c r="J110" s="18">
        <v>234</v>
      </c>
    </row>
    <row r="111" spans="1:10" x14ac:dyDescent="0.15">
      <c r="A111" s="19">
        <v>54</v>
      </c>
      <c r="B111" s="14" t="s">
        <v>14</v>
      </c>
      <c r="C111" s="14" t="s">
        <v>392</v>
      </c>
      <c r="D111" s="14" t="s">
        <v>393</v>
      </c>
      <c r="E111" s="14" t="s">
        <v>394</v>
      </c>
      <c r="F111" s="15" t="str">
        <f>CONCATENATE(Tabla1[[#This Row],[NOMBRE_MPIO]]," (",Tabla1[[#This Row],[NOMBRE_DEPTO]],")")</f>
        <v>BOCHALEMA (NORTE DE SANTANDER)</v>
      </c>
      <c r="G111" s="19" t="s">
        <v>394</v>
      </c>
      <c r="I111" s="14" t="s">
        <v>395</v>
      </c>
      <c r="J111" s="19">
        <v>334</v>
      </c>
    </row>
    <row r="112" spans="1:10" x14ac:dyDescent="0.15">
      <c r="A112" s="19">
        <v>11</v>
      </c>
      <c r="B112" s="14" t="s">
        <v>396</v>
      </c>
      <c r="C112" s="14" t="s">
        <v>397</v>
      </c>
      <c r="D112" s="14" t="s">
        <v>398</v>
      </c>
      <c r="E112" s="14" t="s">
        <v>399</v>
      </c>
      <c r="F112" s="15" t="str">
        <f>CONCATENATE(Tabla1[[#This Row],[NOMBRE_MPIO]]," (",Tabla1[[#This Row],[NOMBRE_DEPTO]],")")</f>
        <v>BOGOTA D.C. (BOGOTÁ D.C.)</v>
      </c>
      <c r="G112" s="19" t="s">
        <v>399</v>
      </c>
      <c r="I112" s="17" t="s">
        <v>400</v>
      </c>
      <c r="J112" s="18">
        <v>238</v>
      </c>
    </row>
    <row r="113" spans="1:10" x14ac:dyDescent="0.15">
      <c r="A113" s="19">
        <v>25</v>
      </c>
      <c r="B113" s="14" t="s">
        <v>46</v>
      </c>
      <c r="C113" s="14" t="s">
        <v>401</v>
      </c>
      <c r="D113" s="14" t="s">
        <v>402</v>
      </c>
      <c r="E113" s="14" t="s">
        <v>403</v>
      </c>
      <c r="F113" s="15" t="str">
        <f>CONCATENATE(Tabla1[[#This Row],[NOMBRE_MPIO]]," (",Tabla1[[#This Row],[NOMBRE_DEPTO]],")")</f>
        <v>BOJACÁ (CUNDINAMARCA)</v>
      </c>
      <c r="G113" s="19" t="s">
        <v>403</v>
      </c>
      <c r="I113" s="14" t="s">
        <v>404</v>
      </c>
      <c r="J113" s="19">
        <v>584</v>
      </c>
    </row>
    <row r="114" spans="1:10" x14ac:dyDescent="0.15">
      <c r="A114" s="19">
        <v>27</v>
      </c>
      <c r="B114" s="14" t="s">
        <v>27</v>
      </c>
      <c r="C114" s="14" t="s">
        <v>273</v>
      </c>
      <c r="D114" s="14" t="s">
        <v>405</v>
      </c>
      <c r="E114" s="14" t="s">
        <v>406</v>
      </c>
      <c r="F114" s="15" t="str">
        <f>CONCATENATE(Tabla1[[#This Row],[NOMBRE_MPIO]]," (",Tabla1[[#This Row],[NOMBRE_DEPTO]],")")</f>
        <v>BOJAYA (CHOCO)</v>
      </c>
      <c r="G114" s="19" t="s">
        <v>406</v>
      </c>
      <c r="I114" s="17" t="s">
        <v>407</v>
      </c>
      <c r="J114" s="18">
        <v>574</v>
      </c>
    </row>
    <row r="115" spans="1:10" x14ac:dyDescent="0.15">
      <c r="A115" s="19">
        <v>19</v>
      </c>
      <c r="B115" s="14" t="s">
        <v>109</v>
      </c>
      <c r="C115" s="14" t="s">
        <v>52</v>
      </c>
      <c r="D115" s="14" t="s">
        <v>408</v>
      </c>
      <c r="E115" s="14" t="s">
        <v>409</v>
      </c>
      <c r="F115" s="15" t="str">
        <f>CONCATENATE(Tabla1[[#This Row],[NOMBRE_MPIO]]," (",Tabla1[[#This Row],[NOMBRE_DEPTO]],")")</f>
        <v>BOLÍVAR (CAUCA)</v>
      </c>
      <c r="G115" s="19" t="s">
        <v>409</v>
      </c>
      <c r="I115" s="14" t="s">
        <v>410</v>
      </c>
      <c r="J115" s="19">
        <v>585</v>
      </c>
    </row>
    <row r="116" spans="1:10" x14ac:dyDescent="0.15">
      <c r="A116" s="19">
        <v>68</v>
      </c>
      <c r="B116" s="14" t="s">
        <v>56</v>
      </c>
      <c r="D116" s="14" t="s">
        <v>408</v>
      </c>
      <c r="E116" s="14" t="s">
        <v>411</v>
      </c>
      <c r="F116" s="15" t="str">
        <f>CONCATENATE(Tabla1[[#This Row],[NOMBRE_MPIO]]," (",Tabla1[[#This Row],[NOMBRE_DEPTO]],")")</f>
        <v>BOLÍVAR (SANTANDER)</v>
      </c>
      <c r="G116" s="19" t="s">
        <v>411</v>
      </c>
      <c r="I116" s="17" t="s">
        <v>412</v>
      </c>
      <c r="J116" s="18">
        <v>612</v>
      </c>
    </row>
    <row r="117" spans="1:10" x14ac:dyDescent="0.15">
      <c r="A117" s="19">
        <v>76</v>
      </c>
      <c r="B117" s="14" t="s">
        <v>92</v>
      </c>
      <c r="D117" s="14" t="s">
        <v>408</v>
      </c>
      <c r="E117" s="14" t="s">
        <v>413</v>
      </c>
      <c r="F117" s="15" t="str">
        <f>CONCATENATE(Tabla1[[#This Row],[NOMBRE_MPIO]]," (",Tabla1[[#This Row],[NOMBRE_DEPTO]],")")</f>
        <v>BOLÍVAR (VALLE DEL CAUCA)</v>
      </c>
      <c r="G117" s="19" t="s">
        <v>413</v>
      </c>
      <c r="I117" s="14" t="s">
        <v>414</v>
      </c>
      <c r="J117" s="19">
        <v>90</v>
      </c>
    </row>
    <row r="118" spans="1:10" x14ac:dyDescent="0.15">
      <c r="A118" s="19">
        <v>20</v>
      </c>
      <c r="B118" s="14" t="s">
        <v>51</v>
      </c>
      <c r="C118" s="14" t="s">
        <v>266</v>
      </c>
      <c r="D118" s="14" t="s">
        <v>415</v>
      </c>
      <c r="E118" s="14" t="s">
        <v>416</v>
      </c>
      <c r="F118" s="15" t="str">
        <f>CONCATENATE(Tabla1[[#This Row],[NOMBRE_MPIO]]," (",Tabla1[[#This Row],[NOMBRE_DEPTO]],")")</f>
        <v>BOSCONIA (CESAR)</v>
      </c>
      <c r="G118" s="19" t="s">
        <v>416</v>
      </c>
      <c r="I118" s="17" t="s">
        <v>417</v>
      </c>
      <c r="J118" s="18">
        <v>744</v>
      </c>
    </row>
    <row r="119" spans="1:10" x14ac:dyDescent="0.15">
      <c r="A119" s="19">
        <v>15</v>
      </c>
      <c r="B119" s="14" t="s">
        <v>113</v>
      </c>
      <c r="C119" s="14" t="s">
        <v>418</v>
      </c>
      <c r="D119" s="14" t="s">
        <v>113</v>
      </c>
      <c r="E119" s="14" t="s">
        <v>419</v>
      </c>
      <c r="F119" s="15" t="str">
        <f>CONCATENATE(Tabla1[[#This Row],[NOMBRE_MPIO]]," (",Tabla1[[#This Row],[NOMBRE_DEPTO]],")")</f>
        <v>BOYACÁ (BOYACÁ)</v>
      </c>
      <c r="G119" s="19" t="s">
        <v>419</v>
      </c>
      <c r="I119" s="14" t="s">
        <v>420</v>
      </c>
      <c r="J119" s="19">
        <v>796</v>
      </c>
    </row>
    <row r="120" spans="1:10" x14ac:dyDescent="0.15">
      <c r="A120" s="19">
        <v>5</v>
      </c>
      <c r="B120" s="14" t="s">
        <v>9</v>
      </c>
      <c r="C120" s="14" t="s">
        <v>62</v>
      </c>
      <c r="D120" s="14" t="s">
        <v>421</v>
      </c>
      <c r="E120" s="14" t="s">
        <v>422</v>
      </c>
      <c r="F120" s="15" t="str">
        <f>CONCATENATE(Tabla1[[#This Row],[NOMBRE_MPIO]]," (",Tabla1[[#This Row],[NOMBRE_DEPTO]],")")</f>
        <v>BRICEÑO (ANTIOQUIA)</v>
      </c>
      <c r="G120" s="19" t="s">
        <v>422</v>
      </c>
      <c r="I120" s="17" t="s">
        <v>423</v>
      </c>
      <c r="J120" s="18">
        <v>581</v>
      </c>
    </row>
    <row r="121" spans="1:10" x14ac:dyDescent="0.15">
      <c r="A121" s="19">
        <v>15</v>
      </c>
      <c r="B121" s="14" t="s">
        <v>113</v>
      </c>
      <c r="C121" s="14" t="s">
        <v>15</v>
      </c>
      <c r="D121" s="14" t="s">
        <v>421</v>
      </c>
      <c r="E121" s="14" t="s">
        <v>424</v>
      </c>
      <c r="F121" s="15" t="str">
        <f>CONCATENATE(Tabla1[[#This Row],[NOMBRE_MPIO]]," (",Tabla1[[#This Row],[NOMBRE_DEPTO]],")")</f>
        <v>BRICEÑO (BOYACÁ)</v>
      </c>
      <c r="G121" s="19" t="s">
        <v>424</v>
      </c>
      <c r="I121" s="14" t="s">
        <v>425</v>
      </c>
      <c r="J121" s="19">
        <v>92</v>
      </c>
    </row>
    <row r="122" spans="1:10" x14ac:dyDescent="0.15">
      <c r="A122" s="19">
        <v>68</v>
      </c>
      <c r="B122" s="14" t="s">
        <v>56</v>
      </c>
      <c r="C122" s="14" t="s">
        <v>426</v>
      </c>
      <c r="D122" s="14" t="s">
        <v>427</v>
      </c>
      <c r="E122" s="14" t="s">
        <v>428</v>
      </c>
      <c r="F122" s="15" t="str">
        <f>CONCATENATE(Tabla1[[#This Row],[NOMBRE_MPIO]]," (",Tabla1[[#This Row],[NOMBRE_DEPTO]],")")</f>
        <v>BUCARAMANGA (SANTANDER)</v>
      </c>
      <c r="G122" s="19" t="s">
        <v>428</v>
      </c>
      <c r="I122" s="17" t="s">
        <v>429</v>
      </c>
      <c r="J122" s="18">
        <v>850</v>
      </c>
    </row>
    <row r="123" spans="1:10" x14ac:dyDescent="0.15">
      <c r="A123" s="19">
        <v>54</v>
      </c>
      <c r="B123" s="14" t="s">
        <v>14</v>
      </c>
      <c r="C123" s="14" t="s">
        <v>62</v>
      </c>
      <c r="D123" s="14" t="s">
        <v>430</v>
      </c>
      <c r="E123" s="14" t="s">
        <v>431</v>
      </c>
      <c r="F123" s="15" t="str">
        <f>CONCATENATE(Tabla1[[#This Row],[NOMBRE_MPIO]]," (",Tabla1[[#This Row],[NOMBRE_DEPTO]],")")</f>
        <v>BUCARASICA (NORTE DE SANTANDER)</v>
      </c>
      <c r="G123" s="19" t="s">
        <v>431</v>
      </c>
      <c r="I123" s="14" t="s">
        <v>432</v>
      </c>
      <c r="J123" s="19">
        <v>376</v>
      </c>
    </row>
    <row r="124" spans="1:10" x14ac:dyDescent="0.15">
      <c r="A124" s="19">
        <v>76</v>
      </c>
      <c r="B124" s="14" t="s">
        <v>92</v>
      </c>
      <c r="C124" s="14" t="s">
        <v>15</v>
      </c>
      <c r="D124" s="14" t="s">
        <v>433</v>
      </c>
      <c r="E124" s="14" t="s">
        <v>434</v>
      </c>
      <c r="F124" s="15" t="str">
        <f>CONCATENATE(Tabla1[[#This Row],[NOMBRE_MPIO]]," (",Tabla1[[#This Row],[NOMBRE_DEPTO]],")")</f>
        <v>BUENAVENTURA (VALLE DEL CAUCA)</v>
      </c>
      <c r="G124" s="19" t="s">
        <v>434</v>
      </c>
      <c r="I124" s="17" t="s">
        <v>435</v>
      </c>
      <c r="J124" s="18">
        <v>380</v>
      </c>
    </row>
    <row r="125" spans="1:10" x14ac:dyDescent="0.15">
      <c r="A125" s="19">
        <v>15</v>
      </c>
      <c r="B125" s="14" t="s">
        <v>113</v>
      </c>
      <c r="C125" s="14" t="s">
        <v>15</v>
      </c>
      <c r="D125" s="14" t="s">
        <v>436</v>
      </c>
      <c r="E125" s="14" t="s">
        <v>437</v>
      </c>
      <c r="F125" s="15" t="str">
        <f>CONCATENATE(Tabla1[[#This Row],[NOMBRE_MPIO]]," (",Tabla1[[#This Row],[NOMBRE_DEPTO]],")")</f>
        <v>BUENAVISTA (BOYACÁ)</v>
      </c>
      <c r="G125" s="19" t="s">
        <v>437</v>
      </c>
      <c r="I125" s="14" t="s">
        <v>438</v>
      </c>
      <c r="J125" s="19">
        <v>388</v>
      </c>
    </row>
    <row r="126" spans="1:10" x14ac:dyDescent="0.15">
      <c r="A126" s="19">
        <v>23</v>
      </c>
      <c r="B126" s="14" t="s">
        <v>276</v>
      </c>
      <c r="D126" s="14" t="s">
        <v>436</v>
      </c>
      <c r="E126" s="14" t="s">
        <v>439</v>
      </c>
      <c r="F126" s="15" t="str">
        <f>CONCATENATE(Tabla1[[#This Row],[NOMBRE_MPIO]]," (",Tabla1[[#This Row],[NOMBRE_DEPTO]],")")</f>
        <v>BUENAVISTA (CORDOBA)</v>
      </c>
      <c r="G126" s="19" t="s">
        <v>439</v>
      </c>
      <c r="I126" s="17" t="s">
        <v>440</v>
      </c>
      <c r="J126" s="18">
        <v>392</v>
      </c>
    </row>
    <row r="127" spans="1:10" x14ac:dyDescent="0.15">
      <c r="A127" s="19">
        <v>63</v>
      </c>
      <c r="B127" s="14" t="s">
        <v>256</v>
      </c>
      <c r="D127" s="14" t="s">
        <v>436</v>
      </c>
      <c r="E127" s="14" t="s">
        <v>441</v>
      </c>
      <c r="F127" s="15" t="str">
        <f>CONCATENATE(Tabla1[[#This Row],[NOMBRE_MPIO]]," (",Tabla1[[#This Row],[NOMBRE_DEPTO]],")")</f>
        <v>BUENAVISTA (QUINDIO)</v>
      </c>
      <c r="G127" s="19" t="s">
        <v>441</v>
      </c>
      <c r="I127" s="14" t="s">
        <v>442</v>
      </c>
      <c r="J127" s="19">
        <v>832</v>
      </c>
    </row>
    <row r="128" spans="1:10" x14ac:dyDescent="0.15">
      <c r="A128" s="19">
        <v>70</v>
      </c>
      <c r="B128" s="14" t="s">
        <v>443</v>
      </c>
      <c r="C128" s="14" t="s">
        <v>444</v>
      </c>
      <c r="D128" s="14" t="s">
        <v>436</v>
      </c>
      <c r="E128" s="14" t="s">
        <v>445</v>
      </c>
      <c r="F128" s="15" t="str">
        <f>CONCATENATE(Tabla1[[#This Row],[NOMBRE_MPIO]]," (",Tabla1[[#This Row],[NOMBRE_DEPTO]],")")</f>
        <v>BUENAVISTA (SUCRE)</v>
      </c>
      <c r="G128" s="19" t="s">
        <v>445</v>
      </c>
      <c r="I128" s="17" t="s">
        <v>446</v>
      </c>
      <c r="J128" s="18">
        <v>400</v>
      </c>
    </row>
    <row r="129" spans="1:10" x14ac:dyDescent="0.15">
      <c r="A129" s="19">
        <v>19</v>
      </c>
      <c r="B129" s="14" t="s">
        <v>109</v>
      </c>
      <c r="C129" s="14" t="s">
        <v>62</v>
      </c>
      <c r="D129" s="14" t="s">
        <v>447</v>
      </c>
      <c r="E129" s="14" t="s">
        <v>448</v>
      </c>
      <c r="F129" s="15" t="str">
        <f>CONCATENATE(Tabla1[[#This Row],[NOMBRE_MPIO]]," (",Tabla1[[#This Row],[NOMBRE_DEPTO]],")")</f>
        <v>BUENOS AIRES (CAUCA)</v>
      </c>
      <c r="G129" s="19" t="s">
        <v>448</v>
      </c>
      <c r="I129" s="14" t="s">
        <v>449</v>
      </c>
      <c r="J129" s="19">
        <v>398</v>
      </c>
    </row>
    <row r="130" spans="1:10" x14ac:dyDescent="0.15">
      <c r="A130" s="19">
        <v>52</v>
      </c>
      <c r="B130" s="14" t="s">
        <v>80</v>
      </c>
      <c r="D130" s="14" t="s">
        <v>450</v>
      </c>
      <c r="E130" s="14" t="s">
        <v>451</v>
      </c>
      <c r="F130" s="15" t="str">
        <f>CONCATENATE(Tabla1[[#This Row],[NOMBRE_MPIO]]," (",Tabla1[[#This Row],[NOMBRE_DEPTO]],")")</f>
        <v>BUESACO (NARIÑO)</v>
      </c>
      <c r="G130" s="19" t="s">
        <v>451</v>
      </c>
      <c r="I130" s="17" t="s">
        <v>452</v>
      </c>
      <c r="J130" s="18">
        <v>404</v>
      </c>
    </row>
    <row r="131" spans="1:10" x14ac:dyDescent="0.15">
      <c r="A131" s="19">
        <v>76</v>
      </c>
      <c r="B131" s="14" t="s">
        <v>92</v>
      </c>
      <c r="D131" s="14" t="s">
        <v>453</v>
      </c>
      <c r="E131" s="14" t="s">
        <v>454</v>
      </c>
      <c r="F131" s="15" t="str">
        <f>CONCATENATE(Tabla1[[#This Row],[NOMBRE_MPIO]]," (",Tabla1[[#This Row],[NOMBRE_DEPTO]],")")</f>
        <v>BUGA (VALLE DEL CAUCA)</v>
      </c>
      <c r="G131" s="19" t="s">
        <v>454</v>
      </c>
      <c r="I131" s="14" t="s">
        <v>455</v>
      </c>
      <c r="J131" s="19">
        <v>417</v>
      </c>
    </row>
    <row r="132" spans="1:10" x14ac:dyDescent="0.15">
      <c r="A132" s="19">
        <v>76</v>
      </c>
      <c r="B132" s="14" t="s">
        <v>92</v>
      </c>
      <c r="D132" s="14" t="s">
        <v>456</v>
      </c>
      <c r="E132" s="14" t="s">
        <v>457</v>
      </c>
      <c r="F132" s="15" t="str">
        <f>CONCATENATE(Tabla1[[#This Row],[NOMBRE_MPIO]]," (",Tabla1[[#This Row],[NOMBRE_DEPTO]],")")</f>
        <v>BUGALAGRANDE (VALLE DEL CAUCA)</v>
      </c>
      <c r="G132" s="19" t="s">
        <v>457</v>
      </c>
      <c r="I132" s="17" t="s">
        <v>458</v>
      </c>
      <c r="J132" s="18">
        <v>296</v>
      </c>
    </row>
    <row r="133" spans="1:10" x14ac:dyDescent="0.15">
      <c r="A133" s="19">
        <v>5</v>
      </c>
      <c r="B133" s="14" t="s">
        <v>9</v>
      </c>
      <c r="C133" s="14" t="s">
        <v>15</v>
      </c>
      <c r="D133" s="14" t="s">
        <v>459</v>
      </c>
      <c r="E133" s="14" t="s">
        <v>460</v>
      </c>
      <c r="F133" s="15" t="str">
        <f>CONCATENATE(Tabla1[[#This Row],[NOMBRE_MPIO]]," (",Tabla1[[#This Row],[NOMBRE_DEPTO]],")")</f>
        <v>BURITICÁ (ANTIOQUIA)</v>
      </c>
      <c r="G133" s="19" t="s">
        <v>460</v>
      </c>
      <c r="I133" s="14" t="s">
        <v>461</v>
      </c>
      <c r="J133" s="19">
        <v>414</v>
      </c>
    </row>
    <row r="134" spans="1:10" x14ac:dyDescent="0.15">
      <c r="A134" s="19">
        <v>15</v>
      </c>
      <c r="B134" s="14" t="s">
        <v>113</v>
      </c>
      <c r="C134" s="14" t="s">
        <v>344</v>
      </c>
      <c r="D134" s="14" t="s">
        <v>462</v>
      </c>
      <c r="E134" s="14" t="s">
        <v>463</v>
      </c>
      <c r="F134" s="15" t="str">
        <f>CONCATENATE(Tabla1[[#This Row],[NOMBRE_MPIO]]," (",Tabla1[[#This Row],[NOMBRE_DEPTO]],")")</f>
        <v>BUSBANZÁ (BOYACÁ)</v>
      </c>
      <c r="G134" s="19" t="s">
        <v>463</v>
      </c>
      <c r="I134" s="17" t="s">
        <v>464</v>
      </c>
      <c r="J134" s="18">
        <v>418</v>
      </c>
    </row>
    <row r="135" spans="1:10" x14ac:dyDescent="0.15">
      <c r="A135" s="19">
        <v>25</v>
      </c>
      <c r="B135" s="14" t="s">
        <v>46</v>
      </c>
      <c r="D135" s="14" t="s">
        <v>465</v>
      </c>
      <c r="E135" s="14" t="s">
        <v>466</v>
      </c>
      <c r="F135" s="15" t="str">
        <f>CONCATENATE(Tabla1[[#This Row],[NOMBRE_MPIO]]," (",Tabla1[[#This Row],[NOMBRE_DEPTO]],")")</f>
        <v>CABRERA (CUNDINAMARCA)</v>
      </c>
      <c r="G135" s="19" t="s">
        <v>466</v>
      </c>
      <c r="I135" s="14" t="s">
        <v>467</v>
      </c>
      <c r="J135" s="19">
        <v>426</v>
      </c>
    </row>
    <row r="136" spans="1:10" x14ac:dyDescent="0.15">
      <c r="A136" s="19">
        <v>68</v>
      </c>
      <c r="B136" s="14" t="s">
        <v>56</v>
      </c>
      <c r="D136" s="14" t="s">
        <v>465</v>
      </c>
      <c r="E136" s="14" t="s">
        <v>468</v>
      </c>
      <c r="F136" s="15" t="str">
        <f>CONCATENATE(Tabla1[[#This Row],[NOMBRE_MPIO]]," (",Tabla1[[#This Row],[NOMBRE_DEPTO]],")")</f>
        <v>CABRERA (SANTANDER)</v>
      </c>
      <c r="G136" s="19" t="s">
        <v>468</v>
      </c>
      <c r="I136" s="17" t="s">
        <v>469</v>
      </c>
      <c r="J136" s="18">
        <v>428</v>
      </c>
    </row>
    <row r="137" spans="1:10" x14ac:dyDescent="0.15">
      <c r="A137" s="19">
        <v>50</v>
      </c>
      <c r="B137" s="14" t="s">
        <v>22</v>
      </c>
      <c r="C137" s="14" t="s">
        <v>470</v>
      </c>
      <c r="D137" s="14" t="s">
        <v>471</v>
      </c>
      <c r="E137" s="14" t="s">
        <v>472</v>
      </c>
      <c r="F137" s="15" t="str">
        <f>CONCATENATE(Tabla1[[#This Row],[NOMBRE_MPIO]]," (",Tabla1[[#This Row],[NOMBRE_DEPTO]],")")</f>
        <v>CABUYARO (META)</v>
      </c>
      <c r="G137" s="19" t="s">
        <v>472</v>
      </c>
      <c r="I137" s="14" t="s">
        <v>473</v>
      </c>
      <c r="J137" s="19">
        <v>422</v>
      </c>
    </row>
    <row r="138" spans="1:10" x14ac:dyDescent="0.15">
      <c r="A138" s="19">
        <v>94</v>
      </c>
      <c r="B138" s="14" t="s">
        <v>330</v>
      </c>
      <c r="D138" s="14" t="s">
        <v>474</v>
      </c>
      <c r="E138" s="14" t="s">
        <v>475</v>
      </c>
      <c r="F138" s="15" t="str">
        <f>CONCATENATE(Tabla1[[#This Row],[NOMBRE_MPIO]]," (",Tabla1[[#This Row],[NOMBRE_DEPTO]],")")</f>
        <v>CACAHUAL (GUAINIA)</v>
      </c>
      <c r="G138" s="19" t="s">
        <v>475</v>
      </c>
      <c r="I138" s="17" t="s">
        <v>476</v>
      </c>
      <c r="J138" s="18">
        <v>430</v>
      </c>
    </row>
    <row r="139" spans="1:10" x14ac:dyDescent="0.15">
      <c r="A139" s="19">
        <v>5</v>
      </c>
      <c r="B139" s="14" t="s">
        <v>9</v>
      </c>
      <c r="C139" s="14" t="s">
        <v>477</v>
      </c>
      <c r="D139" s="14" t="s">
        <v>478</v>
      </c>
      <c r="E139" s="14" t="s">
        <v>479</v>
      </c>
      <c r="F139" s="15" t="str">
        <f>CONCATENATE(Tabla1[[#This Row],[NOMBRE_MPIO]]," (",Tabla1[[#This Row],[NOMBRE_DEPTO]],")")</f>
        <v>CÁCERES (ANTIOQUIA)</v>
      </c>
      <c r="G139" s="19" t="s">
        <v>479</v>
      </c>
      <c r="I139" s="14" t="s">
        <v>480</v>
      </c>
      <c r="J139" s="19">
        <v>434</v>
      </c>
    </row>
    <row r="140" spans="1:10" x14ac:dyDescent="0.15">
      <c r="A140" s="19">
        <v>25</v>
      </c>
      <c r="B140" s="14" t="s">
        <v>46</v>
      </c>
      <c r="D140" s="14" t="s">
        <v>481</v>
      </c>
      <c r="E140" s="14" t="s">
        <v>482</v>
      </c>
      <c r="F140" s="15" t="str">
        <f>CONCATENATE(Tabla1[[#This Row],[NOMBRE_MPIO]]," (",Tabla1[[#This Row],[NOMBRE_DEPTO]],")")</f>
        <v>CACHIPAY (CUNDINAMARCA)</v>
      </c>
      <c r="G140" s="19" t="s">
        <v>482</v>
      </c>
      <c r="I140" s="17" t="s">
        <v>483</v>
      </c>
      <c r="J140" s="18">
        <v>438</v>
      </c>
    </row>
    <row r="141" spans="1:10" x14ac:dyDescent="0.15">
      <c r="A141" s="19">
        <v>54</v>
      </c>
      <c r="B141" s="14" t="s">
        <v>14</v>
      </c>
      <c r="D141" s="14" t="s">
        <v>484</v>
      </c>
      <c r="E141" s="14" t="s">
        <v>485</v>
      </c>
      <c r="F141" s="15" t="str">
        <f>CONCATENATE(Tabla1[[#This Row],[NOMBRE_MPIO]]," (",Tabla1[[#This Row],[NOMBRE_DEPTO]],")")</f>
        <v>CACHIRÁ (NORTE DE SANTANDER)</v>
      </c>
      <c r="G141" s="19" t="s">
        <v>485</v>
      </c>
      <c r="I141" s="14" t="s">
        <v>486</v>
      </c>
      <c r="J141" s="19">
        <v>440</v>
      </c>
    </row>
    <row r="142" spans="1:10" x14ac:dyDescent="0.15">
      <c r="A142" s="19">
        <v>54</v>
      </c>
      <c r="B142" s="14" t="s">
        <v>14</v>
      </c>
      <c r="C142" s="14" t="s">
        <v>487</v>
      </c>
      <c r="D142" s="14" t="s">
        <v>488</v>
      </c>
      <c r="E142" s="14" t="s">
        <v>489</v>
      </c>
      <c r="F142" s="15" t="str">
        <f>CONCATENATE(Tabla1[[#This Row],[NOMBRE_MPIO]]," (",Tabla1[[#This Row],[NOMBRE_DEPTO]],")")</f>
        <v>CÁCOTA (NORTE DE SANTANDER)</v>
      </c>
      <c r="G142" s="19" t="s">
        <v>489</v>
      </c>
      <c r="I142" s="17" t="s">
        <v>490</v>
      </c>
      <c r="J142" s="18">
        <v>442</v>
      </c>
    </row>
    <row r="143" spans="1:10" x14ac:dyDescent="0.15">
      <c r="A143" s="19">
        <v>5</v>
      </c>
      <c r="B143" s="14" t="s">
        <v>9</v>
      </c>
      <c r="C143" s="14" t="s">
        <v>137</v>
      </c>
      <c r="D143" s="14" t="s">
        <v>491</v>
      </c>
      <c r="E143" s="14" t="s">
        <v>492</v>
      </c>
      <c r="F143" s="15" t="str">
        <f>CONCATENATE(Tabla1[[#This Row],[NOMBRE_MPIO]]," (",Tabla1[[#This Row],[NOMBRE_DEPTO]],")")</f>
        <v>CAICEDO (ANTIOQUIA)</v>
      </c>
      <c r="G143" s="19" t="s">
        <v>492</v>
      </c>
      <c r="I143" s="14" t="s">
        <v>493</v>
      </c>
      <c r="J143" s="19">
        <v>446</v>
      </c>
    </row>
    <row r="144" spans="1:10" x14ac:dyDescent="0.15">
      <c r="A144" s="19">
        <v>76</v>
      </c>
      <c r="B144" s="14" t="s">
        <v>92</v>
      </c>
      <c r="C144" s="14" t="s">
        <v>10</v>
      </c>
      <c r="D144" s="14" t="s">
        <v>494</v>
      </c>
      <c r="E144" s="14" t="s">
        <v>495</v>
      </c>
      <c r="F144" s="15" t="str">
        <f>CONCATENATE(Tabla1[[#This Row],[NOMBRE_MPIO]]," (",Tabla1[[#This Row],[NOMBRE_DEPTO]],")")</f>
        <v>CAICEDONIA (VALLE DEL CAUCA)</v>
      </c>
      <c r="G144" s="19" t="s">
        <v>495</v>
      </c>
      <c r="I144" s="17" t="s">
        <v>496</v>
      </c>
      <c r="J144" s="18">
        <v>807</v>
      </c>
    </row>
    <row r="145" spans="1:10" x14ac:dyDescent="0.15">
      <c r="A145" s="19">
        <v>70</v>
      </c>
      <c r="B145" s="14" t="s">
        <v>443</v>
      </c>
      <c r="C145" s="14" t="s">
        <v>277</v>
      </c>
      <c r="D145" s="14" t="s">
        <v>497</v>
      </c>
      <c r="E145" s="14" t="s">
        <v>498</v>
      </c>
      <c r="F145" s="15" t="str">
        <f>CONCATENATE(Tabla1[[#This Row],[NOMBRE_MPIO]]," (",Tabla1[[#This Row],[NOMBRE_DEPTO]],")")</f>
        <v>CAIMITO (SUCRE)</v>
      </c>
      <c r="G145" s="19" t="s">
        <v>498</v>
      </c>
      <c r="I145" s="14" t="s">
        <v>499</v>
      </c>
      <c r="J145" s="19">
        <v>450</v>
      </c>
    </row>
    <row r="146" spans="1:10" x14ac:dyDescent="0.15">
      <c r="A146" s="19">
        <v>73</v>
      </c>
      <c r="B146" s="14" t="s">
        <v>117</v>
      </c>
      <c r="D146" s="14" t="s">
        <v>500</v>
      </c>
      <c r="E146" s="14" t="s">
        <v>501</v>
      </c>
      <c r="F146" s="15" t="str">
        <f>CONCATENATE(Tabla1[[#This Row],[NOMBRE_MPIO]]," (",Tabla1[[#This Row],[NOMBRE_DEPTO]],")")</f>
        <v>CAJAMARCA (TOLIMA)</v>
      </c>
      <c r="G146" s="19" t="s">
        <v>501</v>
      </c>
      <c r="I146" s="17" t="s">
        <v>502</v>
      </c>
      <c r="J146" s="18">
        <v>458</v>
      </c>
    </row>
    <row r="147" spans="1:10" x14ac:dyDescent="0.15">
      <c r="A147" s="19">
        <v>19</v>
      </c>
      <c r="B147" s="14" t="s">
        <v>109</v>
      </c>
      <c r="C147" s="14" t="s">
        <v>42</v>
      </c>
      <c r="D147" s="14" t="s">
        <v>503</v>
      </c>
      <c r="E147" s="14" t="s">
        <v>504</v>
      </c>
      <c r="F147" s="15" t="str">
        <f>CONCATENATE(Tabla1[[#This Row],[NOMBRE_MPIO]]," (",Tabla1[[#This Row],[NOMBRE_DEPTO]],")")</f>
        <v>CAJIBÍO (CAUCA)</v>
      </c>
      <c r="G147" s="19" t="s">
        <v>504</v>
      </c>
      <c r="I147" s="14" t="s">
        <v>505</v>
      </c>
      <c r="J147" s="19">
        <v>454</v>
      </c>
    </row>
    <row r="148" spans="1:10" x14ac:dyDescent="0.15">
      <c r="A148" s="19">
        <v>25</v>
      </c>
      <c r="B148" s="14" t="s">
        <v>46</v>
      </c>
      <c r="C148" s="14" t="s">
        <v>506</v>
      </c>
      <c r="D148" s="14" t="s">
        <v>507</v>
      </c>
      <c r="E148" s="14" t="s">
        <v>508</v>
      </c>
      <c r="F148" s="15" t="str">
        <f>CONCATENATE(Tabla1[[#This Row],[NOMBRE_MPIO]]," (",Tabla1[[#This Row],[NOMBRE_DEPTO]],")")</f>
        <v>CAJICÁ (CUNDINAMARCA)</v>
      </c>
      <c r="G148" s="19" t="s">
        <v>508</v>
      </c>
      <c r="I148" s="17" t="s">
        <v>509</v>
      </c>
      <c r="J148" s="18">
        <v>462</v>
      </c>
    </row>
    <row r="149" spans="1:10" x14ac:dyDescent="0.15">
      <c r="A149" s="19">
        <v>13</v>
      </c>
      <c r="B149" s="14" t="s">
        <v>37</v>
      </c>
      <c r="C149" s="14" t="s">
        <v>250</v>
      </c>
      <c r="D149" s="14" t="s">
        <v>510</v>
      </c>
      <c r="E149" s="14" t="s">
        <v>511</v>
      </c>
      <c r="F149" s="15" t="str">
        <f>CONCATENATE(Tabla1[[#This Row],[NOMBRE_MPIO]]," (",Tabla1[[#This Row],[NOMBRE_DEPTO]],")")</f>
        <v>CALAMAR (BOLIVAR)</v>
      </c>
      <c r="G149" s="19" t="s">
        <v>511</v>
      </c>
      <c r="I149" s="14" t="s">
        <v>512</v>
      </c>
      <c r="J149" s="19">
        <v>466</v>
      </c>
    </row>
    <row r="150" spans="1:10" x14ac:dyDescent="0.15">
      <c r="A150" s="19">
        <v>95</v>
      </c>
      <c r="B150" s="14" t="s">
        <v>513</v>
      </c>
      <c r="C150" s="14" t="s">
        <v>513</v>
      </c>
      <c r="D150" s="14" t="s">
        <v>510</v>
      </c>
      <c r="E150" s="14" t="s">
        <v>514</v>
      </c>
      <c r="F150" s="15" t="str">
        <f>CONCATENATE(Tabla1[[#This Row],[NOMBRE_MPIO]]," (",Tabla1[[#This Row],[NOMBRE_DEPTO]],")")</f>
        <v>CALAMAR (GUAVIARE)</v>
      </c>
      <c r="G150" s="19" t="s">
        <v>514</v>
      </c>
      <c r="I150" s="17" t="s">
        <v>515</v>
      </c>
      <c r="J150" s="18">
        <v>470</v>
      </c>
    </row>
    <row r="151" spans="1:10" x14ac:dyDescent="0.15">
      <c r="A151" s="19">
        <v>63</v>
      </c>
      <c r="B151" s="14" t="s">
        <v>256</v>
      </c>
      <c r="D151" s="14" t="s">
        <v>516</v>
      </c>
      <c r="E151" s="14" t="s">
        <v>517</v>
      </c>
      <c r="F151" s="15" t="str">
        <f>CONCATENATE(Tabla1[[#This Row],[NOMBRE_MPIO]]," (",Tabla1[[#This Row],[NOMBRE_DEPTO]],")")</f>
        <v>CALARCA (QUINDIO)</v>
      </c>
      <c r="G151" s="19" t="s">
        <v>517</v>
      </c>
      <c r="I151" s="14" t="s">
        <v>518</v>
      </c>
      <c r="J151" s="19">
        <v>580</v>
      </c>
    </row>
    <row r="152" spans="1:10" x14ac:dyDescent="0.15">
      <c r="A152" s="19">
        <v>5</v>
      </c>
      <c r="B152" s="14" t="s">
        <v>9</v>
      </c>
      <c r="C152" s="14" t="s">
        <v>308</v>
      </c>
      <c r="D152" s="14" t="s">
        <v>61</v>
      </c>
      <c r="E152" s="14" t="s">
        <v>519</v>
      </c>
      <c r="F152" s="15" t="str">
        <f>CONCATENATE(Tabla1[[#This Row],[NOMBRE_MPIO]]," (",Tabla1[[#This Row],[NOMBRE_DEPTO]],")")</f>
        <v>CALDAS (ANTIOQUIA)</v>
      </c>
      <c r="G152" s="19" t="s">
        <v>519</v>
      </c>
      <c r="I152" s="17" t="s">
        <v>520</v>
      </c>
      <c r="J152" s="18">
        <v>504</v>
      </c>
    </row>
    <row r="153" spans="1:10" x14ac:dyDescent="0.15">
      <c r="A153" s="19">
        <v>15</v>
      </c>
      <c r="B153" s="14" t="s">
        <v>113</v>
      </c>
      <c r="C153" s="14" t="s">
        <v>15</v>
      </c>
      <c r="D153" s="14" t="s">
        <v>61</v>
      </c>
      <c r="E153" s="14" t="s">
        <v>521</v>
      </c>
      <c r="F153" s="15" t="str">
        <f>CONCATENATE(Tabla1[[#This Row],[NOMBRE_MPIO]]," (",Tabla1[[#This Row],[NOMBRE_DEPTO]],")")</f>
        <v>CALDAS (BOYACÁ)</v>
      </c>
      <c r="G153" s="19" t="s">
        <v>521</v>
      </c>
      <c r="I153" s="14" t="s">
        <v>522</v>
      </c>
      <c r="J153" s="19">
        <v>474</v>
      </c>
    </row>
    <row r="154" spans="1:10" x14ac:dyDescent="0.15">
      <c r="A154" s="19">
        <v>19</v>
      </c>
      <c r="B154" s="14" t="s">
        <v>109</v>
      </c>
      <c r="C154" s="14" t="s">
        <v>10</v>
      </c>
      <c r="D154" s="14" t="s">
        <v>523</v>
      </c>
      <c r="E154" s="14" t="s">
        <v>524</v>
      </c>
      <c r="F154" s="15" t="str">
        <f>CONCATENATE(Tabla1[[#This Row],[NOMBRE_MPIO]]," (",Tabla1[[#This Row],[NOMBRE_DEPTO]],")")</f>
        <v>CALDONO (CAUCA)</v>
      </c>
      <c r="G154" s="19" t="s">
        <v>524</v>
      </c>
      <c r="I154" s="17" t="s">
        <v>525</v>
      </c>
      <c r="J154" s="18">
        <v>480</v>
      </c>
    </row>
    <row r="155" spans="1:10" x14ac:dyDescent="0.15">
      <c r="A155" s="19">
        <v>76</v>
      </c>
      <c r="B155" s="14" t="s">
        <v>92</v>
      </c>
      <c r="C155" s="14" t="s">
        <v>33</v>
      </c>
      <c r="D155" s="14" t="s">
        <v>526</v>
      </c>
      <c r="E155" s="14" t="s">
        <v>527</v>
      </c>
      <c r="F155" s="15" t="str">
        <f>CONCATENATE(Tabla1[[#This Row],[NOMBRE_MPIO]]," (",Tabla1[[#This Row],[NOMBRE_DEPTO]],")")</f>
        <v>CALI (VALLE DEL CAUCA)</v>
      </c>
      <c r="G155" s="19" t="s">
        <v>527</v>
      </c>
      <c r="I155" s="14" t="s">
        <v>528</v>
      </c>
      <c r="J155" s="19">
        <v>478</v>
      </c>
    </row>
    <row r="156" spans="1:10" x14ac:dyDescent="0.15">
      <c r="A156" s="19">
        <v>68</v>
      </c>
      <c r="B156" s="14" t="s">
        <v>56</v>
      </c>
      <c r="D156" s="14" t="s">
        <v>529</v>
      </c>
      <c r="E156" s="14" t="s">
        <v>530</v>
      </c>
      <c r="F156" s="15" t="str">
        <f>CONCATENATE(Tabla1[[#This Row],[NOMBRE_MPIO]]," (",Tabla1[[#This Row],[NOMBRE_DEPTO]],")")</f>
        <v>CALIFORNIA (SANTANDER)</v>
      </c>
      <c r="G156" s="19" t="s">
        <v>530</v>
      </c>
      <c r="I156" s="17" t="s">
        <v>531</v>
      </c>
      <c r="J156" s="18">
        <v>175</v>
      </c>
    </row>
    <row r="157" spans="1:10" x14ac:dyDescent="0.15">
      <c r="A157" s="19">
        <v>76</v>
      </c>
      <c r="B157" s="14" t="s">
        <v>92</v>
      </c>
      <c r="D157" s="14" t="s">
        <v>532</v>
      </c>
      <c r="E157" s="14" t="s">
        <v>533</v>
      </c>
      <c r="F157" s="15" t="str">
        <f>CONCATENATE(Tabla1[[#This Row],[NOMBRE_MPIO]]," (",Tabla1[[#This Row],[NOMBRE_DEPTO]],")")</f>
        <v>CALIMA (VALLE DEL CAUCA)</v>
      </c>
      <c r="G157" s="19" t="s">
        <v>533</v>
      </c>
      <c r="I157" s="14" t="s">
        <v>534</v>
      </c>
      <c r="J157" s="19">
        <v>484</v>
      </c>
    </row>
    <row r="158" spans="1:10" x14ac:dyDescent="0.15">
      <c r="A158" s="19">
        <v>19</v>
      </c>
      <c r="B158" s="14" t="s">
        <v>109</v>
      </c>
      <c r="C158" s="14" t="s">
        <v>62</v>
      </c>
      <c r="D158" s="14" t="s">
        <v>535</v>
      </c>
      <c r="E158" s="14" t="s">
        <v>536</v>
      </c>
      <c r="F158" s="15" t="str">
        <f>CONCATENATE(Tabla1[[#This Row],[NOMBRE_MPIO]]," (",Tabla1[[#This Row],[NOMBRE_DEPTO]],")")</f>
        <v>CALOTO (CAUCA)</v>
      </c>
      <c r="G158" s="19" t="s">
        <v>536</v>
      </c>
      <c r="I158" s="17" t="s">
        <v>537</v>
      </c>
      <c r="J158" s="18">
        <v>583</v>
      </c>
    </row>
    <row r="159" spans="1:10" x14ac:dyDescent="0.15">
      <c r="A159" s="19">
        <v>5</v>
      </c>
      <c r="B159" s="14" t="s">
        <v>9</v>
      </c>
      <c r="C159" s="14" t="s">
        <v>62</v>
      </c>
      <c r="D159" s="14" t="s">
        <v>538</v>
      </c>
      <c r="E159" s="14" t="s">
        <v>539</v>
      </c>
      <c r="F159" s="15" t="str">
        <f>CONCATENATE(Tabla1[[#This Row],[NOMBRE_MPIO]]," (",Tabla1[[#This Row],[NOMBRE_DEPTO]],")")</f>
        <v>CAMPAMENTO (ANTIOQUIA)</v>
      </c>
      <c r="G159" s="19" t="s">
        <v>539</v>
      </c>
      <c r="I159" s="14" t="s">
        <v>540</v>
      </c>
      <c r="J159" s="19">
        <v>498</v>
      </c>
    </row>
    <row r="160" spans="1:10" x14ac:dyDescent="0.15">
      <c r="A160" s="19">
        <v>8</v>
      </c>
      <c r="B160" s="14" t="s">
        <v>296</v>
      </c>
      <c r="C160" s="14" t="s">
        <v>33</v>
      </c>
      <c r="D160" s="14" t="s">
        <v>541</v>
      </c>
      <c r="E160" s="14" t="s">
        <v>542</v>
      </c>
      <c r="F160" s="15" t="str">
        <f>CONCATENATE(Tabla1[[#This Row],[NOMBRE_MPIO]]," (",Tabla1[[#This Row],[NOMBRE_DEPTO]],")")</f>
        <v>CAMPO DE LA CRUZ (ATLÁNTICO)</v>
      </c>
      <c r="G160" s="19" t="s">
        <v>542</v>
      </c>
      <c r="I160" s="17" t="s">
        <v>543</v>
      </c>
      <c r="J160" s="18">
        <v>492</v>
      </c>
    </row>
    <row r="161" spans="1:10" x14ac:dyDescent="0.15">
      <c r="A161" s="19">
        <v>41</v>
      </c>
      <c r="B161" s="14" t="s">
        <v>32</v>
      </c>
      <c r="D161" s="14" t="s">
        <v>544</v>
      </c>
      <c r="E161" s="14" t="s">
        <v>545</v>
      </c>
      <c r="F161" s="15" t="str">
        <f>CONCATENATE(Tabla1[[#This Row],[NOMBRE_MPIO]]," (",Tabla1[[#This Row],[NOMBRE_DEPTO]],")")</f>
        <v>CAMPOALEGRE (HUILA)</v>
      </c>
      <c r="G161" s="19" t="s">
        <v>545</v>
      </c>
      <c r="I161" s="14" t="s">
        <v>546</v>
      </c>
      <c r="J161" s="19">
        <v>496</v>
      </c>
    </row>
    <row r="162" spans="1:10" x14ac:dyDescent="0.15">
      <c r="A162" s="19">
        <v>15</v>
      </c>
      <c r="B162" s="14" t="s">
        <v>113</v>
      </c>
      <c r="C162" s="14" t="s">
        <v>370</v>
      </c>
      <c r="D162" s="14" t="s">
        <v>547</v>
      </c>
      <c r="E162" s="14" t="s">
        <v>548</v>
      </c>
      <c r="F162" s="15" t="str">
        <f>CONCATENATE(Tabla1[[#This Row],[NOMBRE_MPIO]]," (",Tabla1[[#This Row],[NOMBRE_DEPTO]],")")</f>
        <v>CAMPOHERMOSO (BOYACÁ)</v>
      </c>
      <c r="G162" s="19" t="s">
        <v>548</v>
      </c>
      <c r="I162" s="17" t="s">
        <v>549</v>
      </c>
      <c r="J162" s="18">
        <v>499</v>
      </c>
    </row>
    <row r="163" spans="1:10" x14ac:dyDescent="0.15">
      <c r="A163" s="19">
        <v>23</v>
      </c>
      <c r="B163" s="14" t="s">
        <v>276</v>
      </c>
      <c r="C163" s="14" t="s">
        <v>550</v>
      </c>
      <c r="D163" s="14" t="s">
        <v>551</v>
      </c>
      <c r="E163" s="14" t="s">
        <v>552</v>
      </c>
      <c r="F163" s="15" t="str">
        <f>CONCATENATE(Tabla1[[#This Row],[NOMBRE_MPIO]]," (",Tabla1[[#This Row],[NOMBRE_DEPTO]],")")</f>
        <v>CANALETE (CORDOBA)</v>
      </c>
      <c r="G163" s="19" t="s">
        <v>552</v>
      </c>
      <c r="I163" s="14" t="s">
        <v>553</v>
      </c>
      <c r="J163" s="19">
        <v>500</v>
      </c>
    </row>
    <row r="164" spans="1:10" x14ac:dyDescent="0.15">
      <c r="A164" s="19">
        <v>8</v>
      </c>
      <c r="B164" s="14" t="s">
        <v>296</v>
      </c>
      <c r="C164" s="14" t="s">
        <v>33</v>
      </c>
      <c r="D164" s="14" t="s">
        <v>554</v>
      </c>
      <c r="E164" s="14" t="s">
        <v>555</v>
      </c>
      <c r="F164" s="15" t="str">
        <f>CONCATENATE(Tabla1[[#This Row],[NOMBRE_MPIO]]," (",Tabla1[[#This Row],[NOMBRE_DEPTO]],")")</f>
        <v>CANDELARIA (ATLÁNTICO)</v>
      </c>
      <c r="G164" s="19" t="s">
        <v>555</v>
      </c>
      <c r="I164" s="17" t="s">
        <v>556</v>
      </c>
      <c r="J164" s="18">
        <v>508</v>
      </c>
    </row>
    <row r="165" spans="1:10" x14ac:dyDescent="0.15">
      <c r="A165" s="19">
        <v>76</v>
      </c>
      <c r="B165" s="14" t="s">
        <v>92</v>
      </c>
      <c r="D165" s="14" t="s">
        <v>554</v>
      </c>
      <c r="E165" s="14" t="s">
        <v>557</v>
      </c>
      <c r="F165" s="15" t="str">
        <f>CONCATENATE(Tabla1[[#This Row],[NOMBRE_MPIO]]," (",Tabla1[[#This Row],[NOMBRE_DEPTO]],")")</f>
        <v>CANDELARIA (VALLE DEL CAUCA)</v>
      </c>
      <c r="G165" s="19" t="s">
        <v>557</v>
      </c>
      <c r="I165" s="14" t="s">
        <v>558</v>
      </c>
      <c r="J165" s="19">
        <v>104</v>
      </c>
    </row>
    <row r="166" spans="1:10" x14ac:dyDescent="0.15">
      <c r="A166" s="19">
        <v>13</v>
      </c>
      <c r="B166" s="14" t="s">
        <v>37</v>
      </c>
      <c r="C166" s="14" t="s">
        <v>236</v>
      </c>
      <c r="D166" s="14" t="s">
        <v>559</v>
      </c>
      <c r="E166" s="14" t="s">
        <v>560</v>
      </c>
      <c r="F166" s="15" t="str">
        <f>CONCATENATE(Tabla1[[#This Row],[NOMBRE_MPIO]]," (",Tabla1[[#This Row],[NOMBRE_DEPTO]],")")</f>
        <v>CANTAGALLO (BOLIVAR)</v>
      </c>
      <c r="G166" s="19" t="s">
        <v>560</v>
      </c>
      <c r="I166" s="17" t="s">
        <v>561</v>
      </c>
      <c r="J166" s="18">
        <v>516</v>
      </c>
    </row>
    <row r="167" spans="1:10" x14ac:dyDescent="0.15">
      <c r="A167" s="19">
        <v>27</v>
      </c>
      <c r="B167" s="14" t="s">
        <v>27</v>
      </c>
      <c r="C167" s="14" t="s">
        <v>562</v>
      </c>
      <c r="D167" s="14" t="s">
        <v>563</v>
      </c>
      <c r="E167" s="14" t="s">
        <v>564</v>
      </c>
      <c r="F167" s="15" t="str">
        <f>CONCATENATE(Tabla1[[#This Row],[NOMBRE_MPIO]]," (",Tabla1[[#This Row],[NOMBRE_DEPTO]],")")</f>
        <v>CANTON DE SAN PABLO (CHOCO)</v>
      </c>
      <c r="G167" s="19" t="s">
        <v>564</v>
      </c>
      <c r="I167" s="14" t="s">
        <v>565</v>
      </c>
      <c r="J167" s="19">
        <v>520</v>
      </c>
    </row>
    <row r="168" spans="1:10" x14ac:dyDescent="0.15">
      <c r="A168" s="19">
        <v>5</v>
      </c>
      <c r="B168" s="14" t="s">
        <v>9</v>
      </c>
      <c r="C168" s="14" t="s">
        <v>15</v>
      </c>
      <c r="D168" s="14" t="s">
        <v>566</v>
      </c>
      <c r="E168" s="14" t="s">
        <v>567</v>
      </c>
      <c r="F168" s="15" t="str">
        <f>CONCATENATE(Tabla1[[#This Row],[NOMBRE_MPIO]]," (",Tabla1[[#This Row],[NOMBRE_DEPTO]],")")</f>
        <v>CAÑASGORDAS (ANTIOQUIA)</v>
      </c>
      <c r="G168" s="19" t="s">
        <v>567</v>
      </c>
      <c r="I168" s="17" t="s">
        <v>568</v>
      </c>
      <c r="J168" s="18">
        <v>524</v>
      </c>
    </row>
    <row r="169" spans="1:10" x14ac:dyDescent="0.15">
      <c r="A169" s="19">
        <v>25</v>
      </c>
      <c r="B169" s="14" t="s">
        <v>46</v>
      </c>
      <c r="C169" s="14" t="s">
        <v>569</v>
      </c>
      <c r="D169" s="14" t="s">
        <v>570</v>
      </c>
      <c r="E169" s="14" t="s">
        <v>571</v>
      </c>
      <c r="F169" s="15" t="str">
        <f>CONCATENATE(Tabla1[[#This Row],[NOMBRE_MPIO]]," (",Tabla1[[#This Row],[NOMBRE_DEPTO]],")")</f>
        <v>CAPARRAPÍ (CUNDINAMARCA)</v>
      </c>
      <c r="G169" s="19" t="s">
        <v>571</v>
      </c>
      <c r="I169" s="14" t="s">
        <v>572</v>
      </c>
      <c r="J169" s="19">
        <v>558</v>
      </c>
    </row>
    <row r="170" spans="1:10" x14ac:dyDescent="0.15">
      <c r="A170" s="19">
        <v>68</v>
      </c>
      <c r="B170" s="14" t="s">
        <v>56</v>
      </c>
      <c r="C170" s="14" t="s">
        <v>573</v>
      </c>
      <c r="D170" s="14" t="s">
        <v>574</v>
      </c>
      <c r="E170" s="14" t="s">
        <v>575</v>
      </c>
      <c r="F170" s="15" t="str">
        <f>CONCATENATE(Tabla1[[#This Row],[NOMBRE_MPIO]]," (",Tabla1[[#This Row],[NOMBRE_DEPTO]],")")</f>
        <v>CAPITANEJO (SANTANDER)</v>
      </c>
      <c r="G170" s="19" t="s">
        <v>575</v>
      </c>
      <c r="I170" s="17" t="s">
        <v>576</v>
      </c>
      <c r="J170" s="18">
        <v>562</v>
      </c>
    </row>
    <row r="171" spans="1:10" x14ac:dyDescent="0.15">
      <c r="A171" s="19">
        <v>25</v>
      </c>
      <c r="B171" s="14" t="s">
        <v>46</v>
      </c>
      <c r="C171" s="14" t="s">
        <v>10</v>
      </c>
      <c r="D171" s="14" t="s">
        <v>577</v>
      </c>
      <c r="E171" s="14" t="s">
        <v>578</v>
      </c>
      <c r="F171" s="15" t="str">
        <f>CONCATENATE(Tabla1[[#This Row],[NOMBRE_MPIO]]," (",Tabla1[[#This Row],[NOMBRE_DEPTO]],")")</f>
        <v>CAQUEZA (CUNDINAMARCA)</v>
      </c>
      <c r="G171" s="19" t="s">
        <v>578</v>
      </c>
      <c r="I171" s="14" t="s">
        <v>579</v>
      </c>
      <c r="J171" s="19">
        <v>566</v>
      </c>
    </row>
    <row r="172" spans="1:10" x14ac:dyDescent="0.15">
      <c r="A172" s="19">
        <v>5</v>
      </c>
      <c r="B172" s="14" t="s">
        <v>9</v>
      </c>
      <c r="C172" s="14" t="s">
        <v>580</v>
      </c>
      <c r="D172" s="14" t="s">
        <v>581</v>
      </c>
      <c r="E172" s="14" t="s">
        <v>582</v>
      </c>
      <c r="F172" s="15" t="str">
        <f>CONCATENATE(Tabla1[[#This Row],[NOMBRE_MPIO]]," (",Tabla1[[#This Row],[NOMBRE_DEPTO]],")")</f>
        <v>CARACOLÍ (ANTIOQUIA)</v>
      </c>
      <c r="G172" s="19" t="s">
        <v>582</v>
      </c>
      <c r="I172" s="17" t="s">
        <v>583</v>
      </c>
      <c r="J172" s="18">
        <v>570</v>
      </c>
    </row>
    <row r="173" spans="1:10" x14ac:dyDescent="0.15">
      <c r="A173" s="19">
        <v>5</v>
      </c>
      <c r="B173" s="14" t="s">
        <v>9</v>
      </c>
      <c r="C173" s="14" t="s">
        <v>137</v>
      </c>
      <c r="D173" s="14" t="s">
        <v>584</v>
      </c>
      <c r="E173" s="14" t="s">
        <v>585</v>
      </c>
      <c r="F173" s="15" t="str">
        <f>CONCATENATE(Tabla1[[#This Row],[NOMBRE_MPIO]]," (",Tabla1[[#This Row],[NOMBRE_DEPTO]],")")</f>
        <v>CARAMANTA (ANTIOQUIA)</v>
      </c>
      <c r="G173" s="19" t="s">
        <v>585</v>
      </c>
      <c r="I173" s="14" t="s">
        <v>586</v>
      </c>
      <c r="J173" s="19">
        <v>578</v>
      </c>
    </row>
    <row r="174" spans="1:10" x14ac:dyDescent="0.15">
      <c r="A174" s="19">
        <v>68</v>
      </c>
      <c r="B174" s="14" t="s">
        <v>56</v>
      </c>
      <c r="D174" s="14" t="s">
        <v>587</v>
      </c>
      <c r="E174" s="14" t="s">
        <v>588</v>
      </c>
      <c r="F174" s="15" t="str">
        <f>CONCATENATE(Tabla1[[#This Row],[NOMBRE_MPIO]]," (",Tabla1[[#This Row],[NOMBRE_DEPTO]],")")</f>
        <v>CARCASÍ (SANTANDER)</v>
      </c>
      <c r="G174" s="19" t="s">
        <v>588</v>
      </c>
      <c r="I174" s="17" t="s">
        <v>589</v>
      </c>
      <c r="J174" s="18">
        <v>540</v>
      </c>
    </row>
    <row r="175" spans="1:10" x14ac:dyDescent="0.15">
      <c r="A175" s="19">
        <v>5</v>
      </c>
      <c r="B175" s="14" t="s">
        <v>9</v>
      </c>
      <c r="C175" s="14" t="s">
        <v>187</v>
      </c>
      <c r="D175" s="14" t="s">
        <v>590</v>
      </c>
      <c r="E175" s="14" t="s">
        <v>591</v>
      </c>
      <c r="F175" s="15" t="str">
        <f>CONCATENATE(Tabla1[[#This Row],[NOMBRE_MPIO]]," (",Tabla1[[#This Row],[NOMBRE_DEPTO]],")")</f>
        <v>CAREPA (ANTIOQUIA)</v>
      </c>
      <c r="G175" s="19" t="s">
        <v>591</v>
      </c>
      <c r="I175" s="14" t="s">
        <v>592</v>
      </c>
      <c r="J175" s="19">
        <v>554</v>
      </c>
    </row>
    <row r="176" spans="1:10" x14ac:dyDescent="0.15">
      <c r="A176" s="19">
        <v>73</v>
      </c>
      <c r="B176" s="14" t="s">
        <v>117</v>
      </c>
      <c r="C176" s="14" t="s">
        <v>10</v>
      </c>
      <c r="D176" s="14" t="s">
        <v>593</v>
      </c>
      <c r="E176" s="14" t="s">
        <v>594</v>
      </c>
      <c r="F176" s="15" t="str">
        <f>CONCATENATE(Tabla1[[#This Row],[NOMBRE_MPIO]]," (",Tabla1[[#This Row],[NOMBRE_DEPTO]],")")</f>
        <v>CARMEN DE APICALÁ (TOLIMA)</v>
      </c>
      <c r="G176" s="19" t="s">
        <v>594</v>
      </c>
      <c r="I176" s="17" t="s">
        <v>595</v>
      </c>
      <c r="J176" s="18">
        <v>512</v>
      </c>
    </row>
    <row r="177" spans="1:10" x14ac:dyDescent="0.15">
      <c r="A177" s="19">
        <v>13</v>
      </c>
      <c r="B177" s="14" t="s">
        <v>37</v>
      </c>
      <c r="C177" s="14" t="s">
        <v>596</v>
      </c>
      <c r="D177" s="14" t="s">
        <v>597</v>
      </c>
      <c r="E177" s="14" t="s">
        <v>598</v>
      </c>
      <c r="F177" s="15" t="str">
        <f>CONCATENATE(Tabla1[[#This Row],[NOMBRE_MPIO]]," (",Tabla1[[#This Row],[NOMBRE_DEPTO]],")")</f>
        <v>CARMEN DE BOLÍVAR (BOLIVAR)</v>
      </c>
      <c r="G177" s="19" t="s">
        <v>598</v>
      </c>
      <c r="I177" s="14" t="s">
        <v>599</v>
      </c>
      <c r="J177" s="19">
        <v>528</v>
      </c>
    </row>
    <row r="178" spans="1:10" x14ac:dyDescent="0.15">
      <c r="A178" s="19">
        <v>25</v>
      </c>
      <c r="B178" s="14" t="s">
        <v>46</v>
      </c>
      <c r="C178" s="14" t="s">
        <v>600</v>
      </c>
      <c r="D178" s="14" t="s">
        <v>601</v>
      </c>
      <c r="E178" s="14" t="s">
        <v>602</v>
      </c>
      <c r="F178" s="15" t="str">
        <f>CONCATENATE(Tabla1[[#This Row],[NOMBRE_MPIO]]," (",Tabla1[[#This Row],[NOMBRE_DEPTO]],")")</f>
        <v>CARMEN DE CARUPA (CUNDINAMARCA)</v>
      </c>
      <c r="G178" s="19" t="s">
        <v>602</v>
      </c>
      <c r="I178" s="17" t="s">
        <v>603</v>
      </c>
      <c r="J178" s="18">
        <v>586</v>
      </c>
    </row>
    <row r="179" spans="1:10" x14ac:dyDescent="0.15">
      <c r="A179" s="19">
        <v>5</v>
      </c>
      <c r="B179" s="14" t="s">
        <v>9</v>
      </c>
      <c r="C179" s="14" t="s">
        <v>10</v>
      </c>
      <c r="D179" s="14" t="s">
        <v>604</v>
      </c>
      <c r="E179" s="14" t="s">
        <v>605</v>
      </c>
      <c r="F179" s="15" t="str">
        <f>CONCATENATE(Tabla1[[#This Row],[NOMBRE_MPIO]]," (",Tabla1[[#This Row],[NOMBRE_DEPTO]],")")</f>
        <v>CARMEN DE VIBORAL (ANTIOQUIA)</v>
      </c>
      <c r="G179" s="19" t="s">
        <v>605</v>
      </c>
      <c r="I179" s="14" t="s">
        <v>606</v>
      </c>
      <c r="J179" s="19">
        <v>275</v>
      </c>
    </row>
    <row r="180" spans="1:10" x14ac:dyDescent="0.15">
      <c r="A180" s="19">
        <v>27</v>
      </c>
      <c r="B180" s="14" t="s">
        <v>27</v>
      </c>
      <c r="C180" s="14" t="s">
        <v>28</v>
      </c>
      <c r="D180" s="14" t="s">
        <v>607</v>
      </c>
      <c r="E180" s="14" t="s">
        <v>608</v>
      </c>
      <c r="F180" s="15" t="str">
        <f>CONCATENATE(Tabla1[[#This Row],[NOMBRE_MPIO]]," (",Tabla1[[#This Row],[NOMBRE_DEPTO]],")")</f>
        <v>CARMÉN DEL DARIÉN (CHOCO)</v>
      </c>
      <c r="G180" s="19" t="s">
        <v>608</v>
      </c>
      <c r="I180" s="17" t="s">
        <v>609</v>
      </c>
      <c r="J180" s="18">
        <v>591</v>
      </c>
    </row>
    <row r="181" spans="1:10" x14ac:dyDescent="0.15">
      <c r="A181" s="19">
        <v>5</v>
      </c>
      <c r="B181" s="14" t="s">
        <v>9</v>
      </c>
      <c r="C181" s="14" t="s">
        <v>62</v>
      </c>
      <c r="D181" s="14" t="s">
        <v>610</v>
      </c>
      <c r="E181" s="14" t="s">
        <v>611</v>
      </c>
      <c r="F181" s="15" t="str">
        <f>CONCATENATE(Tabla1[[#This Row],[NOMBRE_MPIO]]," (",Tabla1[[#This Row],[NOMBRE_DEPTO]],")")</f>
        <v>CAROLINA (ANTIOQUIA)</v>
      </c>
      <c r="G181" s="19" t="s">
        <v>611</v>
      </c>
      <c r="I181" s="14" t="s">
        <v>612</v>
      </c>
      <c r="J181" s="19">
        <v>598</v>
      </c>
    </row>
    <row r="182" spans="1:10" x14ac:dyDescent="0.15">
      <c r="A182" s="19">
        <v>13</v>
      </c>
      <c r="B182" s="14" t="s">
        <v>37</v>
      </c>
      <c r="C182" s="14" t="s">
        <v>250</v>
      </c>
      <c r="D182" s="14" t="s">
        <v>613</v>
      </c>
      <c r="E182" s="14" t="s">
        <v>614</v>
      </c>
      <c r="F182" s="15" t="str">
        <f>CONCATENATE(Tabla1[[#This Row],[NOMBRE_MPIO]]," (",Tabla1[[#This Row],[NOMBRE_DEPTO]],")")</f>
        <v>CARTAGENA (BOLIVAR)</v>
      </c>
      <c r="G182" s="19" t="s">
        <v>614</v>
      </c>
      <c r="I182" s="17" t="s">
        <v>615</v>
      </c>
      <c r="J182" s="18">
        <v>600</v>
      </c>
    </row>
    <row r="183" spans="1:10" x14ac:dyDescent="0.15">
      <c r="A183" s="19">
        <v>18</v>
      </c>
      <c r="B183" s="14" t="s">
        <v>84</v>
      </c>
      <c r="C183" s="14" t="s">
        <v>84</v>
      </c>
      <c r="D183" s="14" t="s">
        <v>616</v>
      </c>
      <c r="E183" s="14" t="s">
        <v>617</v>
      </c>
      <c r="F183" s="15" t="str">
        <f>CONCATENATE(Tabla1[[#This Row],[NOMBRE_MPIO]]," (",Tabla1[[#This Row],[NOMBRE_DEPTO]],")")</f>
        <v>CARTAGENA DEL CHAIRÁ (CAQUETA)</v>
      </c>
      <c r="G183" s="19" t="s">
        <v>617</v>
      </c>
      <c r="I183" s="14" t="s">
        <v>618</v>
      </c>
      <c r="J183" s="19">
        <v>604</v>
      </c>
    </row>
    <row r="184" spans="1:10" x14ac:dyDescent="0.15">
      <c r="A184" s="19">
        <v>76</v>
      </c>
      <c r="B184" s="14" t="s">
        <v>92</v>
      </c>
      <c r="D184" s="14" t="s">
        <v>619</v>
      </c>
      <c r="E184" s="14" t="s">
        <v>620</v>
      </c>
      <c r="F184" s="15" t="str">
        <f>CONCATENATE(Tabla1[[#This Row],[NOMBRE_MPIO]]," (",Tabla1[[#This Row],[NOMBRE_DEPTO]],")")</f>
        <v>CARTAGO (VALLE DEL CAUCA)</v>
      </c>
      <c r="G184" s="19" t="s">
        <v>620</v>
      </c>
      <c r="I184" s="17" t="s">
        <v>621</v>
      </c>
      <c r="J184" s="18">
        <v>258</v>
      </c>
    </row>
    <row r="185" spans="1:10" x14ac:dyDescent="0.15">
      <c r="A185" s="19">
        <v>97</v>
      </c>
      <c r="B185" s="14" t="s">
        <v>622</v>
      </c>
      <c r="C185" s="14" t="s">
        <v>622</v>
      </c>
      <c r="D185" s="14" t="s">
        <v>623</v>
      </c>
      <c r="E185" s="14" t="s">
        <v>624</v>
      </c>
      <c r="F185" s="15" t="str">
        <f>CONCATENATE(Tabla1[[#This Row],[NOMBRE_MPIO]]," (",Tabla1[[#This Row],[NOMBRE_DEPTO]],")")</f>
        <v>CARURU (VAUPES)</v>
      </c>
      <c r="G185" s="19" t="s">
        <v>624</v>
      </c>
      <c r="I185" s="14" t="s">
        <v>625</v>
      </c>
      <c r="J185" s="19">
        <v>616</v>
      </c>
    </row>
    <row r="186" spans="1:10" x14ac:dyDescent="0.15">
      <c r="A186" s="19">
        <v>73</v>
      </c>
      <c r="B186" s="14" t="s">
        <v>117</v>
      </c>
      <c r="C186" s="14" t="s">
        <v>626</v>
      </c>
      <c r="D186" s="14" t="s">
        <v>627</v>
      </c>
      <c r="E186" s="14" t="s">
        <v>628</v>
      </c>
      <c r="F186" s="15" t="str">
        <f>CONCATENATE(Tabla1[[#This Row],[NOMBRE_MPIO]]," (",Tabla1[[#This Row],[NOMBRE_DEPTO]],")")</f>
        <v>CASABIANCA (TOLIMA)</v>
      </c>
      <c r="G186" s="19" t="s">
        <v>628</v>
      </c>
      <c r="I186" s="17" t="s">
        <v>629</v>
      </c>
      <c r="J186" s="18">
        <v>620</v>
      </c>
    </row>
    <row r="187" spans="1:10" x14ac:dyDescent="0.15">
      <c r="A187" s="19">
        <v>50</v>
      </c>
      <c r="B187" s="14" t="s">
        <v>22</v>
      </c>
      <c r="D187" s="14" t="s">
        <v>630</v>
      </c>
      <c r="E187" s="14" t="s">
        <v>631</v>
      </c>
      <c r="F187" s="15" t="str">
        <f>CONCATENATE(Tabla1[[#This Row],[NOMBRE_MPIO]]," (",Tabla1[[#This Row],[NOMBRE_DEPTO]],")")</f>
        <v>CASTILLA LA NUEVA (META)</v>
      </c>
      <c r="G187" s="19" t="s">
        <v>631</v>
      </c>
      <c r="I187" s="14" t="s">
        <v>632</v>
      </c>
      <c r="J187" s="19">
        <v>630</v>
      </c>
    </row>
    <row r="188" spans="1:10" x14ac:dyDescent="0.15">
      <c r="A188" s="19">
        <v>5</v>
      </c>
      <c r="B188" s="14" t="s">
        <v>9</v>
      </c>
      <c r="C188" s="14" t="s">
        <v>477</v>
      </c>
      <c r="D188" s="14" t="s">
        <v>633</v>
      </c>
      <c r="E188" s="14" t="s">
        <v>634</v>
      </c>
      <c r="F188" s="15" t="str">
        <f>CONCATENATE(Tabla1[[#This Row],[NOMBRE_MPIO]]," (",Tabla1[[#This Row],[NOMBRE_DEPTO]],")")</f>
        <v>CAUCASIA (ANTIOQUIA)</v>
      </c>
      <c r="G188" s="19" t="s">
        <v>634</v>
      </c>
      <c r="I188" s="17" t="s">
        <v>635</v>
      </c>
      <c r="J188" s="18">
        <v>634</v>
      </c>
    </row>
    <row r="189" spans="1:10" x14ac:dyDescent="0.15">
      <c r="A189" s="19">
        <v>68</v>
      </c>
      <c r="B189" s="14" t="s">
        <v>56</v>
      </c>
      <c r="D189" s="14" t="s">
        <v>636</v>
      </c>
      <c r="E189" s="14" t="s">
        <v>637</v>
      </c>
      <c r="F189" s="15" t="str">
        <f>CONCATENATE(Tabla1[[#This Row],[NOMBRE_MPIO]]," (",Tabla1[[#This Row],[NOMBRE_DEPTO]],")")</f>
        <v>CEPITÁ (SANTANDER)</v>
      </c>
      <c r="G189" s="19" t="s">
        <v>637</v>
      </c>
      <c r="I189" s="14" t="s">
        <v>638</v>
      </c>
      <c r="J189" s="19">
        <v>826</v>
      </c>
    </row>
    <row r="190" spans="1:10" x14ac:dyDescent="0.15">
      <c r="A190" s="19">
        <v>23</v>
      </c>
      <c r="B190" s="14" t="s">
        <v>276</v>
      </c>
      <c r="C190" s="14" t="s">
        <v>639</v>
      </c>
      <c r="D190" s="14" t="s">
        <v>640</v>
      </c>
      <c r="E190" s="14" t="s">
        <v>641</v>
      </c>
      <c r="F190" s="15" t="str">
        <f>CONCATENATE(Tabla1[[#This Row],[NOMBRE_MPIO]]," (",Tabla1[[#This Row],[NOMBRE_DEPTO]],")")</f>
        <v>CERETÉ (CORDOBA)</v>
      </c>
      <c r="G190" s="19" t="s">
        <v>641</v>
      </c>
      <c r="I190" s="17" t="s">
        <v>642</v>
      </c>
      <c r="J190" s="18">
        <v>140</v>
      </c>
    </row>
    <row r="191" spans="1:10" x14ac:dyDescent="0.15">
      <c r="A191" s="19">
        <v>15</v>
      </c>
      <c r="B191" s="14" t="s">
        <v>113</v>
      </c>
      <c r="C191" s="14" t="s">
        <v>344</v>
      </c>
      <c r="D191" s="14" t="s">
        <v>643</v>
      </c>
      <c r="E191" s="14" t="s">
        <v>644</v>
      </c>
      <c r="F191" s="15" t="str">
        <f>CONCATENATE(Tabla1[[#This Row],[NOMBRE_MPIO]]," (",Tabla1[[#This Row],[NOMBRE_DEPTO]],")")</f>
        <v>CERINZA (BOYACÁ)</v>
      </c>
      <c r="G191" s="19" t="s">
        <v>644</v>
      </c>
      <c r="I191" s="14" t="s">
        <v>645</v>
      </c>
      <c r="J191" s="19">
        <v>203</v>
      </c>
    </row>
    <row r="192" spans="1:10" x14ac:dyDescent="0.15">
      <c r="A192" s="19">
        <v>68</v>
      </c>
      <c r="B192" s="14" t="s">
        <v>56</v>
      </c>
      <c r="D192" s="14" t="s">
        <v>646</v>
      </c>
      <c r="E192" s="14" t="s">
        <v>647</v>
      </c>
      <c r="F192" s="15" t="str">
        <f>CONCATENATE(Tabla1[[#This Row],[NOMBRE_MPIO]]," (",Tabla1[[#This Row],[NOMBRE_DEPTO]],")")</f>
        <v>CERRITO (SANTANDER)</v>
      </c>
      <c r="G192" s="19" t="s">
        <v>647</v>
      </c>
      <c r="I192" s="17" t="s">
        <v>648</v>
      </c>
      <c r="J192" s="18">
        <v>214</v>
      </c>
    </row>
    <row r="193" spans="1:10" x14ac:dyDescent="0.15">
      <c r="A193" s="19">
        <v>47</v>
      </c>
      <c r="B193" s="14" t="s">
        <v>102</v>
      </c>
      <c r="C193" s="14" t="s">
        <v>649</v>
      </c>
      <c r="D193" s="14" t="s">
        <v>650</v>
      </c>
      <c r="E193" s="14" t="s">
        <v>651</v>
      </c>
      <c r="F193" s="15" t="str">
        <f>CONCATENATE(Tabla1[[#This Row],[NOMBRE_MPIO]]," (",Tabla1[[#This Row],[NOMBRE_DEPTO]],")")</f>
        <v>CERRO SAN ANTONIO (MAGDALENA)</v>
      </c>
      <c r="G193" s="19" t="s">
        <v>651</v>
      </c>
      <c r="I193" s="14" t="s">
        <v>652</v>
      </c>
      <c r="J193" s="19">
        <v>638</v>
      </c>
    </row>
    <row r="194" spans="1:10" x14ac:dyDescent="0.15">
      <c r="A194" s="19">
        <v>27</v>
      </c>
      <c r="B194" s="14" t="s">
        <v>27</v>
      </c>
      <c r="D194" s="14" t="s">
        <v>653</v>
      </c>
      <c r="E194" s="14" t="s">
        <v>654</v>
      </c>
      <c r="F194" s="15" t="str">
        <f>CONCATENATE(Tabla1[[#This Row],[NOMBRE_MPIO]]," (",Tabla1[[#This Row],[NOMBRE_DEPTO]],")")</f>
        <v>CERTEGUI (CHOCO)</v>
      </c>
      <c r="G194" s="19" t="s">
        <v>654</v>
      </c>
      <c r="I194" s="17" t="s">
        <v>655</v>
      </c>
      <c r="J194" s="18">
        <v>646</v>
      </c>
    </row>
    <row r="195" spans="1:10" x14ac:dyDescent="0.15">
      <c r="A195" s="19">
        <v>52</v>
      </c>
      <c r="B195" s="14" t="s">
        <v>80</v>
      </c>
      <c r="C195" s="14" t="s">
        <v>42</v>
      </c>
      <c r="D195" s="14" t="s">
        <v>656</v>
      </c>
      <c r="E195" s="14" t="s">
        <v>657</v>
      </c>
      <c r="F195" s="15" t="str">
        <f>CONCATENATE(Tabla1[[#This Row],[NOMBRE_MPIO]]," (",Tabla1[[#This Row],[NOMBRE_DEPTO]],")")</f>
        <v>CHACHAGUI (NARIÑO)</v>
      </c>
      <c r="G195" s="19" t="s">
        <v>657</v>
      </c>
      <c r="I195" s="14" t="s">
        <v>658</v>
      </c>
      <c r="J195" s="19">
        <v>642</v>
      </c>
    </row>
    <row r="196" spans="1:10" x14ac:dyDescent="0.15">
      <c r="A196" s="19">
        <v>25</v>
      </c>
      <c r="B196" s="14" t="s">
        <v>46</v>
      </c>
      <c r="D196" s="14" t="s">
        <v>659</v>
      </c>
      <c r="E196" s="14" t="s">
        <v>660</v>
      </c>
      <c r="F196" s="15" t="str">
        <f>CONCATENATE(Tabla1[[#This Row],[NOMBRE_MPIO]]," (",Tabla1[[#This Row],[NOMBRE_DEPTO]],")")</f>
        <v>CHAGUANÍ (CUNDINAMARCA)</v>
      </c>
      <c r="G196" s="19" t="s">
        <v>660</v>
      </c>
      <c r="I196" s="17" t="s">
        <v>661</v>
      </c>
      <c r="J196" s="18">
        <v>643</v>
      </c>
    </row>
    <row r="197" spans="1:10" x14ac:dyDescent="0.15">
      <c r="A197" s="19">
        <v>70</v>
      </c>
      <c r="B197" s="14" t="s">
        <v>443</v>
      </c>
      <c r="C197" s="14" t="s">
        <v>596</v>
      </c>
      <c r="D197" s="14" t="s">
        <v>662</v>
      </c>
      <c r="E197" s="14" t="s">
        <v>663</v>
      </c>
      <c r="F197" s="15" t="str">
        <f>CONCATENATE(Tabla1[[#This Row],[NOMBRE_MPIO]]," (",Tabla1[[#This Row],[NOMBRE_DEPTO]],")")</f>
        <v>CHALÁN (SUCRE)</v>
      </c>
      <c r="G197" s="19" t="s">
        <v>663</v>
      </c>
      <c r="I197" s="14" t="s">
        <v>664</v>
      </c>
      <c r="J197" s="19">
        <v>732</v>
      </c>
    </row>
    <row r="198" spans="1:10" x14ac:dyDescent="0.15">
      <c r="A198" s="19">
        <v>85</v>
      </c>
      <c r="B198" s="14" t="s">
        <v>66</v>
      </c>
      <c r="C198" s="14" t="s">
        <v>66</v>
      </c>
      <c r="D198" s="14" t="s">
        <v>665</v>
      </c>
      <c r="E198" s="14" t="s">
        <v>666</v>
      </c>
      <c r="F198" s="15" t="str">
        <f>CONCATENATE(Tabla1[[#This Row],[NOMBRE_MPIO]]," (",Tabla1[[#This Row],[NOMBRE_DEPTO]],")")</f>
        <v>CHAMEZA (CASANARE)</v>
      </c>
      <c r="G198" s="19" t="s">
        <v>666</v>
      </c>
      <c r="I198" s="17" t="s">
        <v>667</v>
      </c>
      <c r="J198" s="18">
        <v>663</v>
      </c>
    </row>
    <row r="199" spans="1:10" x14ac:dyDescent="0.15">
      <c r="A199" s="19">
        <v>73</v>
      </c>
      <c r="B199" s="14" t="s">
        <v>117</v>
      </c>
      <c r="D199" s="14" t="s">
        <v>668</v>
      </c>
      <c r="E199" s="14" t="s">
        <v>669</v>
      </c>
      <c r="F199" s="15" t="str">
        <f>CONCATENATE(Tabla1[[#This Row],[NOMBRE_MPIO]]," (",Tabla1[[#This Row],[NOMBRE_DEPTO]],")")</f>
        <v>CHAPARRAL (TOLIMA)</v>
      </c>
      <c r="G199" s="19" t="s">
        <v>669</v>
      </c>
      <c r="I199" s="14" t="s">
        <v>670</v>
      </c>
      <c r="J199" s="19">
        <v>882</v>
      </c>
    </row>
    <row r="200" spans="1:10" x14ac:dyDescent="0.15">
      <c r="A200" s="19">
        <v>68</v>
      </c>
      <c r="B200" s="14" t="s">
        <v>56</v>
      </c>
      <c r="D200" s="14" t="s">
        <v>671</v>
      </c>
      <c r="E200" s="14" t="s">
        <v>672</v>
      </c>
      <c r="F200" s="15" t="str">
        <f>CONCATENATE(Tabla1[[#This Row],[NOMBRE_MPIO]]," (",Tabla1[[#This Row],[NOMBRE_DEPTO]],")")</f>
        <v>CHARALÁ (SANTANDER)</v>
      </c>
      <c r="G200" s="19" t="s">
        <v>672</v>
      </c>
      <c r="I200" s="17" t="s">
        <v>673</v>
      </c>
      <c r="J200" s="18">
        <v>16</v>
      </c>
    </row>
    <row r="201" spans="1:10" x14ac:dyDescent="0.15">
      <c r="A201" s="19">
        <v>68</v>
      </c>
      <c r="B201" s="14" t="s">
        <v>56</v>
      </c>
      <c r="D201" s="14" t="s">
        <v>674</v>
      </c>
      <c r="E201" s="14" t="s">
        <v>675</v>
      </c>
      <c r="F201" s="15" t="str">
        <f>CONCATENATE(Tabla1[[#This Row],[NOMBRE_MPIO]]," (",Tabla1[[#This Row],[NOMBRE_DEPTO]],")")</f>
        <v>CHARTA (SANTANDER)</v>
      </c>
      <c r="G201" s="19" t="s">
        <v>675</v>
      </c>
      <c r="I201" s="14" t="s">
        <v>676</v>
      </c>
      <c r="J201" s="19">
        <v>652</v>
      </c>
    </row>
    <row r="202" spans="1:10" x14ac:dyDescent="0.15">
      <c r="A202" s="19">
        <v>25</v>
      </c>
      <c r="B202" s="14" t="s">
        <v>46</v>
      </c>
      <c r="D202" s="14" t="s">
        <v>677</v>
      </c>
      <c r="E202" s="14" t="s">
        <v>678</v>
      </c>
      <c r="F202" s="15" t="str">
        <f>CONCATENATE(Tabla1[[#This Row],[NOMBRE_MPIO]]," (",Tabla1[[#This Row],[NOMBRE_DEPTO]],")")</f>
        <v>CHÍA (CUNDINAMARCA)</v>
      </c>
      <c r="G202" s="19" t="s">
        <v>678</v>
      </c>
      <c r="I202" s="17" t="s">
        <v>679</v>
      </c>
      <c r="J202" s="18">
        <v>659</v>
      </c>
    </row>
    <row r="203" spans="1:10" x14ac:dyDescent="0.15">
      <c r="A203" s="19">
        <v>47</v>
      </c>
      <c r="B203" s="14" t="s">
        <v>102</v>
      </c>
      <c r="D203" s="14" t="s">
        <v>680</v>
      </c>
      <c r="E203" s="14" t="s">
        <v>681</v>
      </c>
      <c r="F203" s="15" t="str">
        <f>CONCATENATE(Tabla1[[#This Row],[NOMBRE_MPIO]]," (",Tabla1[[#This Row],[NOMBRE_DEPTO]],")")</f>
        <v>CHIBOLO (MAGDALENA)</v>
      </c>
      <c r="G203" s="19" t="s">
        <v>681</v>
      </c>
      <c r="I203" s="14" t="s">
        <v>682</v>
      </c>
      <c r="J203" s="19">
        <v>674</v>
      </c>
    </row>
    <row r="204" spans="1:10" x14ac:dyDescent="0.15">
      <c r="A204" s="19">
        <v>5</v>
      </c>
      <c r="B204" s="14" t="s">
        <v>9</v>
      </c>
      <c r="C204" s="14" t="s">
        <v>187</v>
      </c>
      <c r="D204" s="14" t="s">
        <v>683</v>
      </c>
      <c r="E204" s="14" t="s">
        <v>684</v>
      </c>
      <c r="F204" s="15" t="str">
        <f>CONCATENATE(Tabla1[[#This Row],[NOMBRE_MPIO]]," (",Tabla1[[#This Row],[NOMBRE_DEPTO]],")")</f>
        <v>CHIGORODÓ (ANTIOQUIA)</v>
      </c>
      <c r="G204" s="19" t="s">
        <v>684</v>
      </c>
      <c r="I204" s="17" t="s">
        <v>685</v>
      </c>
      <c r="J204" s="18">
        <v>666</v>
      </c>
    </row>
    <row r="205" spans="1:10" x14ac:dyDescent="0.15">
      <c r="A205" s="19">
        <v>23</v>
      </c>
      <c r="B205" s="14" t="s">
        <v>276</v>
      </c>
      <c r="C205" s="14" t="s">
        <v>686</v>
      </c>
      <c r="D205" s="14" t="s">
        <v>687</v>
      </c>
      <c r="E205" s="14" t="s">
        <v>688</v>
      </c>
      <c r="F205" s="15" t="str">
        <f>CONCATENATE(Tabla1[[#This Row],[NOMBRE_MPIO]]," (",Tabla1[[#This Row],[NOMBRE_DEPTO]],")")</f>
        <v>CHIMÁ (CORDOBA)</v>
      </c>
      <c r="G205" s="19" t="s">
        <v>688</v>
      </c>
      <c r="I205" s="14" t="s">
        <v>689</v>
      </c>
      <c r="J205" s="19">
        <v>670</v>
      </c>
    </row>
    <row r="206" spans="1:10" x14ac:dyDescent="0.15">
      <c r="A206" s="19">
        <v>68</v>
      </c>
      <c r="B206" s="14" t="s">
        <v>56</v>
      </c>
      <c r="C206" s="14" t="s">
        <v>690</v>
      </c>
      <c r="D206" s="14" t="s">
        <v>691</v>
      </c>
      <c r="E206" s="14" t="s">
        <v>692</v>
      </c>
      <c r="F206" s="15" t="str">
        <f>CONCATENATE(Tabla1[[#This Row],[NOMBRE_MPIO]]," (",Tabla1[[#This Row],[NOMBRE_DEPTO]],")")</f>
        <v>CHIMA (SANTANDER)</v>
      </c>
      <c r="G206" s="19" t="s">
        <v>692</v>
      </c>
      <c r="I206" s="17" t="s">
        <v>693</v>
      </c>
      <c r="J206" s="18">
        <v>654</v>
      </c>
    </row>
    <row r="207" spans="1:10" x14ac:dyDescent="0.15">
      <c r="A207" s="19">
        <v>20</v>
      </c>
      <c r="B207" s="14" t="s">
        <v>51</v>
      </c>
      <c r="C207" s="14" t="s">
        <v>337</v>
      </c>
      <c r="D207" s="14" t="s">
        <v>694</v>
      </c>
      <c r="E207" s="14" t="s">
        <v>695</v>
      </c>
      <c r="F207" s="15" t="str">
        <f>CONCATENATE(Tabla1[[#This Row],[NOMBRE_MPIO]]," (",Tabla1[[#This Row],[NOMBRE_DEPTO]],")")</f>
        <v>CHIMICHAGUA (CESAR)</v>
      </c>
      <c r="G207" s="19" t="s">
        <v>695</v>
      </c>
      <c r="I207" s="14" t="s">
        <v>696</v>
      </c>
      <c r="J207" s="19">
        <v>662</v>
      </c>
    </row>
    <row r="208" spans="1:10" x14ac:dyDescent="0.15">
      <c r="A208" s="19">
        <v>54</v>
      </c>
      <c r="B208" s="14" t="s">
        <v>14</v>
      </c>
      <c r="D208" s="14" t="s">
        <v>697</v>
      </c>
      <c r="E208" s="14" t="s">
        <v>698</v>
      </c>
      <c r="F208" s="15" t="str">
        <f>CONCATENATE(Tabla1[[#This Row],[NOMBRE_MPIO]]," (",Tabla1[[#This Row],[NOMBRE_DEPTO]],")")</f>
        <v>CHINÁCOTA (NORTE DE SANTANDER)</v>
      </c>
      <c r="G208" s="19" t="s">
        <v>698</v>
      </c>
      <c r="I208" s="17" t="s">
        <v>699</v>
      </c>
      <c r="J208" s="18">
        <v>678</v>
      </c>
    </row>
    <row r="209" spans="1:10" x14ac:dyDescent="0.15">
      <c r="A209" s="19">
        <v>15</v>
      </c>
      <c r="B209" s="14" t="s">
        <v>113</v>
      </c>
      <c r="C209" s="14" t="s">
        <v>700</v>
      </c>
      <c r="D209" s="14" t="s">
        <v>701</v>
      </c>
      <c r="E209" s="14" t="s">
        <v>702</v>
      </c>
      <c r="F209" s="15" t="str">
        <f>CONCATENATE(Tabla1[[#This Row],[NOMBRE_MPIO]]," (",Tabla1[[#This Row],[NOMBRE_DEPTO]],")")</f>
        <v>CHINAVITA (BOYACÁ)</v>
      </c>
      <c r="G209" s="19" t="s">
        <v>702</v>
      </c>
      <c r="I209" s="14" t="s">
        <v>703</v>
      </c>
      <c r="J209" s="19">
        <v>686</v>
      </c>
    </row>
    <row r="210" spans="1:10" x14ac:dyDescent="0.15">
      <c r="A210" s="19">
        <v>17</v>
      </c>
      <c r="B210" s="14" t="s">
        <v>61</v>
      </c>
      <c r="C210" s="14" t="s">
        <v>42</v>
      </c>
      <c r="D210" s="14" t="s">
        <v>704</v>
      </c>
      <c r="E210" s="14" t="s">
        <v>705</v>
      </c>
      <c r="F210" s="15" t="str">
        <f>CONCATENATE(Tabla1[[#This Row],[NOMBRE_MPIO]]," (",Tabla1[[#This Row],[NOMBRE_DEPTO]],")")</f>
        <v>CHINCHINa (CALDAS)</v>
      </c>
      <c r="G210" s="19" t="s">
        <v>705</v>
      </c>
      <c r="I210" s="17" t="s">
        <v>706</v>
      </c>
      <c r="J210" s="18">
        <v>688</v>
      </c>
    </row>
    <row r="211" spans="1:10" x14ac:dyDescent="0.15">
      <c r="A211" s="19">
        <v>23</v>
      </c>
      <c r="B211" s="14" t="s">
        <v>276</v>
      </c>
      <c r="C211" s="14" t="s">
        <v>444</v>
      </c>
      <c r="D211" s="14" t="s">
        <v>707</v>
      </c>
      <c r="E211" s="14" t="s">
        <v>708</v>
      </c>
      <c r="F211" s="15" t="str">
        <f>CONCATENATE(Tabla1[[#This Row],[NOMBRE_MPIO]]," (",Tabla1[[#This Row],[NOMBRE_DEPTO]],")")</f>
        <v>CHINÚ (CORDOBA)</v>
      </c>
      <c r="G211" s="19" t="s">
        <v>708</v>
      </c>
      <c r="I211" s="14" t="s">
        <v>709</v>
      </c>
      <c r="J211" s="19">
        <v>690</v>
      </c>
    </row>
    <row r="212" spans="1:10" x14ac:dyDescent="0.15">
      <c r="A212" s="19">
        <v>25</v>
      </c>
      <c r="B212" s="14" t="s">
        <v>46</v>
      </c>
      <c r="D212" s="14" t="s">
        <v>710</v>
      </c>
      <c r="E212" s="14" t="s">
        <v>711</v>
      </c>
      <c r="F212" s="15" t="str">
        <f>CONCATENATE(Tabla1[[#This Row],[NOMBRE_MPIO]]," (",Tabla1[[#This Row],[NOMBRE_DEPTO]],")")</f>
        <v>CHIPAQUE (CUNDINAMARCA)</v>
      </c>
      <c r="G212" s="19" t="s">
        <v>711</v>
      </c>
      <c r="I212" s="17" t="s">
        <v>712</v>
      </c>
      <c r="J212" s="18">
        <v>694</v>
      </c>
    </row>
    <row r="213" spans="1:10" x14ac:dyDescent="0.15">
      <c r="A213" s="19">
        <v>68</v>
      </c>
      <c r="B213" s="14" t="s">
        <v>56</v>
      </c>
      <c r="D213" s="14" t="s">
        <v>713</v>
      </c>
      <c r="E213" s="14" t="s">
        <v>714</v>
      </c>
      <c r="F213" s="15" t="str">
        <f>CONCATENATE(Tabla1[[#This Row],[NOMBRE_MPIO]]," (",Tabla1[[#This Row],[NOMBRE_DEPTO]],")")</f>
        <v>CHIPATÁ (SANTANDER)</v>
      </c>
      <c r="G213" s="19" t="s">
        <v>714</v>
      </c>
      <c r="I213" s="14" t="s">
        <v>715</v>
      </c>
      <c r="J213" s="19">
        <v>702</v>
      </c>
    </row>
    <row r="214" spans="1:10" x14ac:dyDescent="0.15">
      <c r="A214" s="19">
        <v>15</v>
      </c>
      <c r="B214" s="14" t="s">
        <v>113</v>
      </c>
      <c r="C214" s="14" t="s">
        <v>15</v>
      </c>
      <c r="D214" s="14" t="s">
        <v>716</v>
      </c>
      <c r="E214" s="14" t="s">
        <v>717</v>
      </c>
      <c r="F214" s="15" t="str">
        <f>CONCATENATE(Tabla1[[#This Row],[NOMBRE_MPIO]]," (",Tabla1[[#This Row],[NOMBRE_DEPTO]],")")</f>
        <v>CHIQUINQUIRÁ (BOYACÁ)</v>
      </c>
      <c r="G214" s="19" t="s">
        <v>717</v>
      </c>
      <c r="I214" s="17" t="s">
        <v>718</v>
      </c>
      <c r="J214" s="18">
        <v>534</v>
      </c>
    </row>
    <row r="215" spans="1:10" x14ac:dyDescent="0.15">
      <c r="A215" s="19">
        <v>15</v>
      </c>
      <c r="B215" s="14" t="s">
        <v>113</v>
      </c>
      <c r="C215" s="14" t="s">
        <v>42</v>
      </c>
      <c r="D215" s="14" t="s">
        <v>719</v>
      </c>
      <c r="E215" s="14" t="s">
        <v>720</v>
      </c>
      <c r="F215" s="15" t="str">
        <f>CONCATENATE(Tabla1[[#This Row],[NOMBRE_MPIO]]," (",Tabla1[[#This Row],[NOMBRE_DEPTO]],")")</f>
        <v>CHÍQUIZA (BOYACÁ)</v>
      </c>
      <c r="G215" s="19" t="s">
        <v>720</v>
      </c>
      <c r="I215" s="14" t="s">
        <v>721</v>
      </c>
      <c r="J215" s="19">
        <v>760</v>
      </c>
    </row>
    <row r="216" spans="1:10" x14ac:dyDescent="0.15">
      <c r="A216" s="19">
        <v>20</v>
      </c>
      <c r="B216" s="14" t="s">
        <v>51</v>
      </c>
      <c r="C216" s="14" t="s">
        <v>337</v>
      </c>
      <c r="D216" s="14" t="s">
        <v>722</v>
      </c>
      <c r="E216" s="14" t="s">
        <v>723</v>
      </c>
      <c r="F216" s="15" t="str">
        <f>CONCATENATE(Tabla1[[#This Row],[NOMBRE_MPIO]]," (",Tabla1[[#This Row],[NOMBRE_DEPTO]],")")</f>
        <v>CHIRIGUANA (CESAR)</v>
      </c>
      <c r="G216" s="19" t="s">
        <v>723</v>
      </c>
      <c r="I216" s="17" t="s">
        <v>724</v>
      </c>
      <c r="J216" s="18">
        <v>706</v>
      </c>
    </row>
    <row r="217" spans="1:10" x14ac:dyDescent="0.15">
      <c r="A217" s="19">
        <v>15</v>
      </c>
      <c r="B217" s="14" t="s">
        <v>113</v>
      </c>
      <c r="C217" s="14" t="s">
        <v>725</v>
      </c>
      <c r="D217" s="14" t="s">
        <v>726</v>
      </c>
      <c r="E217" s="14" t="s">
        <v>727</v>
      </c>
      <c r="F217" s="15" t="str">
        <f>CONCATENATE(Tabla1[[#This Row],[NOMBRE_MPIO]]," (",Tabla1[[#This Row],[NOMBRE_DEPTO]],")")</f>
        <v>CHISCAS (BOYACÁ)</v>
      </c>
      <c r="G217" s="19" t="s">
        <v>727</v>
      </c>
      <c r="I217" s="14" t="s">
        <v>728</v>
      </c>
      <c r="J217" s="19">
        <v>144</v>
      </c>
    </row>
    <row r="218" spans="1:10" x14ac:dyDescent="0.15">
      <c r="A218" s="19">
        <v>15</v>
      </c>
      <c r="B218" s="14" t="s">
        <v>113</v>
      </c>
      <c r="C218" s="14" t="s">
        <v>377</v>
      </c>
      <c r="D218" s="14" t="s">
        <v>729</v>
      </c>
      <c r="E218" s="14" t="s">
        <v>730</v>
      </c>
      <c r="F218" s="15" t="str">
        <f>CONCATENATE(Tabla1[[#This Row],[NOMBRE_MPIO]]," (",Tabla1[[#This Row],[NOMBRE_DEPTO]],")")</f>
        <v>CHITA (BOYACÁ)</v>
      </c>
      <c r="G218" s="19" t="s">
        <v>730</v>
      </c>
      <c r="I218" s="17" t="s">
        <v>731</v>
      </c>
      <c r="J218" s="18">
        <v>748</v>
      </c>
    </row>
    <row r="219" spans="1:10" x14ac:dyDescent="0.15">
      <c r="A219" s="19">
        <v>54</v>
      </c>
      <c r="B219" s="14" t="s">
        <v>14</v>
      </c>
      <c r="D219" s="14" t="s">
        <v>732</v>
      </c>
      <c r="E219" s="14" t="s">
        <v>733</v>
      </c>
      <c r="F219" s="15" t="str">
        <f>CONCATENATE(Tabla1[[#This Row],[NOMBRE_MPIO]]," (",Tabla1[[#This Row],[NOMBRE_DEPTO]],")")</f>
        <v>CHITAGÁ (NORTE DE SANTANDER)</v>
      </c>
      <c r="G219" s="19" t="s">
        <v>733</v>
      </c>
      <c r="I219" s="14" t="s">
        <v>734</v>
      </c>
      <c r="J219" s="19">
        <v>710</v>
      </c>
    </row>
    <row r="220" spans="1:10" x14ac:dyDescent="0.15">
      <c r="A220" s="19">
        <v>15</v>
      </c>
      <c r="B220" s="14" t="s">
        <v>113</v>
      </c>
      <c r="C220" s="14" t="s">
        <v>232</v>
      </c>
      <c r="D220" s="14" t="s">
        <v>735</v>
      </c>
      <c r="E220" s="14" t="s">
        <v>736</v>
      </c>
      <c r="F220" s="15" t="str">
        <f>CONCATENATE(Tabla1[[#This Row],[NOMBRE_MPIO]]," (",Tabla1[[#This Row],[NOMBRE_DEPTO]],")")</f>
        <v>CHITARAQUE (BOYACÁ)</v>
      </c>
      <c r="G220" s="19" t="s">
        <v>736</v>
      </c>
      <c r="I220" s="17" t="s">
        <v>737</v>
      </c>
      <c r="J220" s="18">
        <v>736</v>
      </c>
    </row>
    <row r="221" spans="1:10" x14ac:dyDescent="0.15">
      <c r="A221" s="19">
        <v>15</v>
      </c>
      <c r="B221" s="14" t="s">
        <v>113</v>
      </c>
      <c r="C221" s="14" t="s">
        <v>42</v>
      </c>
      <c r="D221" s="14" t="s">
        <v>738</v>
      </c>
      <c r="E221" s="14" t="s">
        <v>739</v>
      </c>
      <c r="F221" s="15" t="str">
        <f>CONCATENATE(Tabla1[[#This Row],[NOMBRE_MPIO]]," (",Tabla1[[#This Row],[NOMBRE_DEPTO]],")")</f>
        <v>CHIVATÁ (BOYACÁ)</v>
      </c>
      <c r="G221" s="19" t="s">
        <v>739</v>
      </c>
      <c r="I221" s="14" t="s">
        <v>740</v>
      </c>
      <c r="J221" s="19">
        <v>728</v>
      </c>
    </row>
    <row r="222" spans="1:10" x14ac:dyDescent="0.15">
      <c r="A222" s="19">
        <v>15</v>
      </c>
      <c r="B222" s="14" t="s">
        <v>113</v>
      </c>
      <c r="C222" s="14" t="s">
        <v>10</v>
      </c>
      <c r="D222" s="14" t="s">
        <v>741</v>
      </c>
      <c r="E222" s="14" t="s">
        <v>742</v>
      </c>
      <c r="F222" s="15" t="str">
        <f>CONCATENATE(Tabla1[[#This Row],[NOMBRE_MPIO]]," (",Tabla1[[#This Row],[NOMBRE_DEPTO]],")")</f>
        <v>CHIVOR (BOYACÁ)</v>
      </c>
      <c r="G222" s="19" t="s">
        <v>742</v>
      </c>
      <c r="I222" s="17" t="s">
        <v>743</v>
      </c>
      <c r="J222" s="18">
        <v>752</v>
      </c>
    </row>
    <row r="223" spans="1:10" x14ac:dyDescent="0.15">
      <c r="A223" s="19">
        <v>25</v>
      </c>
      <c r="B223" s="14" t="s">
        <v>46</v>
      </c>
      <c r="D223" s="14" t="s">
        <v>744</v>
      </c>
      <c r="E223" s="14" t="s">
        <v>745</v>
      </c>
      <c r="F223" s="15" t="str">
        <f>CONCATENATE(Tabla1[[#This Row],[NOMBRE_MPIO]]," (",Tabla1[[#This Row],[NOMBRE_DEPTO]],")")</f>
        <v>CHOACHÍ (CUNDINAMARCA)</v>
      </c>
      <c r="G223" s="19" t="s">
        <v>745</v>
      </c>
      <c r="I223" s="14" t="s">
        <v>746</v>
      </c>
      <c r="J223" s="19">
        <v>756</v>
      </c>
    </row>
    <row r="224" spans="1:10" x14ac:dyDescent="0.15">
      <c r="A224" s="19">
        <v>25</v>
      </c>
      <c r="B224" s="14" t="s">
        <v>46</v>
      </c>
      <c r="C224" s="14" t="s">
        <v>747</v>
      </c>
      <c r="D224" s="14" t="s">
        <v>748</v>
      </c>
      <c r="E224" s="14" t="s">
        <v>749</v>
      </c>
      <c r="F224" s="15" t="str">
        <f>CONCATENATE(Tabla1[[#This Row],[NOMBRE_MPIO]]," (",Tabla1[[#This Row],[NOMBRE_DEPTO]],")")</f>
        <v>CHOCONTÁ (CUNDINAMARCA)</v>
      </c>
      <c r="G224" s="19" t="s">
        <v>749</v>
      </c>
      <c r="I224" s="17" t="s">
        <v>750</v>
      </c>
      <c r="J224" s="18">
        <v>740</v>
      </c>
    </row>
    <row r="225" spans="1:10" x14ac:dyDescent="0.15">
      <c r="A225" s="19">
        <v>13</v>
      </c>
      <c r="B225" s="14" t="s">
        <v>37</v>
      </c>
      <c r="C225" s="14" t="s">
        <v>751</v>
      </c>
      <c r="D225" s="14" t="s">
        <v>752</v>
      </c>
      <c r="E225" s="14" t="s">
        <v>753</v>
      </c>
      <c r="F225" s="15" t="str">
        <f>CONCATENATE(Tabla1[[#This Row],[NOMBRE_MPIO]]," (",Tabla1[[#This Row],[NOMBRE_DEPTO]],")")</f>
        <v>CICUCO (BOLIVAR)</v>
      </c>
      <c r="G225" s="19" t="s">
        <v>753</v>
      </c>
      <c r="I225" s="14" t="s">
        <v>754</v>
      </c>
      <c r="J225" s="19">
        <v>764</v>
      </c>
    </row>
    <row r="226" spans="1:10" x14ac:dyDescent="0.15">
      <c r="A226" s="19">
        <v>47</v>
      </c>
      <c r="B226" s="14" t="s">
        <v>102</v>
      </c>
      <c r="D226" s="14" t="s">
        <v>755</v>
      </c>
      <c r="E226" s="14" t="s">
        <v>756</v>
      </c>
      <c r="F226" s="15" t="str">
        <f>CONCATENATE(Tabla1[[#This Row],[NOMBRE_MPIO]]," (",Tabla1[[#This Row],[NOMBRE_DEPTO]],")")</f>
        <v>CIÉNAGA (MAGDALENA)</v>
      </c>
      <c r="G226" s="19" t="s">
        <v>756</v>
      </c>
      <c r="I226" s="17" t="s">
        <v>757</v>
      </c>
      <c r="J226" s="18">
        <v>158</v>
      </c>
    </row>
    <row r="227" spans="1:10" x14ac:dyDescent="0.15">
      <c r="A227" s="19">
        <v>23</v>
      </c>
      <c r="B227" s="14" t="s">
        <v>276</v>
      </c>
      <c r="D227" s="14" t="s">
        <v>758</v>
      </c>
      <c r="E227" s="14" t="s">
        <v>759</v>
      </c>
      <c r="F227" s="15" t="str">
        <f>CONCATENATE(Tabla1[[#This Row],[NOMBRE_MPIO]]," (",Tabla1[[#This Row],[NOMBRE_DEPTO]],")")</f>
        <v>CIÉNAGA DE ORO (CORDOBA)</v>
      </c>
      <c r="G227" s="19" t="s">
        <v>759</v>
      </c>
      <c r="I227" s="14" t="s">
        <v>760</v>
      </c>
      <c r="J227" s="19">
        <v>834</v>
      </c>
    </row>
    <row r="228" spans="1:10" x14ac:dyDescent="0.15">
      <c r="A228" s="19">
        <v>15</v>
      </c>
      <c r="B228" s="14" t="s">
        <v>113</v>
      </c>
      <c r="C228" s="14" t="s">
        <v>418</v>
      </c>
      <c r="D228" s="14" t="s">
        <v>761</v>
      </c>
      <c r="E228" s="14" t="s">
        <v>762</v>
      </c>
      <c r="F228" s="15" t="str">
        <f>CONCATENATE(Tabla1[[#This Row],[NOMBRE_MPIO]]," (",Tabla1[[#This Row],[NOMBRE_DEPTO]],")")</f>
        <v>CIÉNEGA (BOYACÁ)</v>
      </c>
      <c r="G228" s="19" t="s">
        <v>762</v>
      </c>
      <c r="I228" s="17" t="s">
        <v>763</v>
      </c>
      <c r="J228" s="18">
        <v>762</v>
      </c>
    </row>
    <row r="229" spans="1:10" x14ac:dyDescent="0.15">
      <c r="A229" s="19">
        <v>68</v>
      </c>
      <c r="B229" s="14" t="s">
        <v>56</v>
      </c>
      <c r="D229" s="14" t="s">
        <v>764</v>
      </c>
      <c r="E229" s="14" t="s">
        <v>765</v>
      </c>
      <c r="F229" s="15" t="str">
        <f>CONCATENATE(Tabla1[[#This Row],[NOMBRE_MPIO]]," (",Tabla1[[#This Row],[NOMBRE_DEPTO]],")")</f>
        <v>CIMITARRA (SANTANDER)</v>
      </c>
      <c r="G229" s="19" t="s">
        <v>765</v>
      </c>
      <c r="I229" s="14" t="s">
        <v>766</v>
      </c>
      <c r="J229" s="19">
        <v>86</v>
      </c>
    </row>
    <row r="230" spans="1:10" x14ac:dyDescent="0.15">
      <c r="A230" s="19">
        <v>63</v>
      </c>
      <c r="B230" s="14" t="s">
        <v>256</v>
      </c>
      <c r="C230" s="14" t="s">
        <v>62</v>
      </c>
      <c r="D230" s="14" t="s">
        <v>767</v>
      </c>
      <c r="E230" s="14" t="s">
        <v>768</v>
      </c>
      <c r="F230" s="15" t="str">
        <f>CONCATENATE(Tabla1[[#This Row],[NOMBRE_MPIO]]," (",Tabla1[[#This Row],[NOMBRE_DEPTO]],")")</f>
        <v>CIRCASIA (QUINDIO)</v>
      </c>
      <c r="G230" s="19" t="s">
        <v>768</v>
      </c>
      <c r="I230" s="17" t="s">
        <v>769</v>
      </c>
      <c r="J230" s="18">
        <v>260</v>
      </c>
    </row>
    <row r="231" spans="1:10" x14ac:dyDescent="0.15">
      <c r="A231" s="19">
        <v>5</v>
      </c>
      <c r="B231" s="14" t="s">
        <v>9</v>
      </c>
      <c r="C231" s="14" t="s">
        <v>141</v>
      </c>
      <c r="D231" s="14" t="s">
        <v>770</v>
      </c>
      <c r="E231" s="14" t="s">
        <v>771</v>
      </c>
      <c r="F231" s="15" t="str">
        <f>CONCATENATE(Tabla1[[#This Row],[NOMBRE_MPIO]]," (",Tabla1[[#This Row],[NOMBRE_DEPTO]],")")</f>
        <v>CISNEROS (ANTIOQUIA)</v>
      </c>
      <c r="G231" s="19" t="s">
        <v>771</v>
      </c>
      <c r="I231" s="14" t="s">
        <v>772</v>
      </c>
      <c r="J231" s="19">
        <v>626</v>
      </c>
    </row>
    <row r="232" spans="1:10" x14ac:dyDescent="0.15">
      <c r="A232" s="19">
        <v>5</v>
      </c>
      <c r="B232" s="14" t="s">
        <v>9</v>
      </c>
      <c r="C232" s="14" t="s">
        <v>137</v>
      </c>
      <c r="D232" s="14" t="s">
        <v>773</v>
      </c>
      <c r="E232" s="14" t="s">
        <v>774</v>
      </c>
      <c r="F232" s="15" t="str">
        <f>CONCATENATE(Tabla1[[#This Row],[NOMBRE_MPIO]]," (",Tabla1[[#This Row],[NOMBRE_DEPTO]],")")</f>
        <v>CIUDAD BOLÍVAR (ANTIOQUIA)</v>
      </c>
      <c r="G232" s="19" t="s">
        <v>774</v>
      </c>
      <c r="I232" s="17" t="s">
        <v>775</v>
      </c>
      <c r="J232" s="18">
        <v>768</v>
      </c>
    </row>
    <row r="233" spans="1:10" x14ac:dyDescent="0.15">
      <c r="A233" s="19">
        <v>13</v>
      </c>
      <c r="B233" s="14" t="s">
        <v>37</v>
      </c>
      <c r="C233" s="14" t="s">
        <v>250</v>
      </c>
      <c r="D233" s="14" t="s">
        <v>776</v>
      </c>
      <c r="E233" s="14" t="s">
        <v>777</v>
      </c>
      <c r="F233" s="15" t="str">
        <f>CONCATENATE(Tabla1[[#This Row],[NOMBRE_MPIO]]," (",Tabla1[[#This Row],[NOMBRE_DEPTO]],")")</f>
        <v>CLEMENCIA (BOLIVAR)</v>
      </c>
      <c r="G233" s="19" t="s">
        <v>777</v>
      </c>
      <c r="I233" s="14" t="s">
        <v>778</v>
      </c>
      <c r="J233" s="19">
        <v>772</v>
      </c>
    </row>
    <row r="234" spans="1:10" x14ac:dyDescent="0.15">
      <c r="A234" s="19">
        <v>5</v>
      </c>
      <c r="B234" s="14" t="s">
        <v>9</v>
      </c>
      <c r="C234" s="14" t="s">
        <v>10</v>
      </c>
      <c r="D234" s="14" t="s">
        <v>779</v>
      </c>
      <c r="E234" s="14" t="s">
        <v>780</v>
      </c>
      <c r="F234" s="15" t="str">
        <f>CONCATENATE(Tabla1[[#This Row],[NOMBRE_MPIO]]," (",Tabla1[[#This Row],[NOMBRE_DEPTO]],")")</f>
        <v>COCORNÁ (ANTIOQUIA)</v>
      </c>
      <c r="G234" s="19" t="s">
        <v>780</v>
      </c>
      <c r="I234" s="17" t="s">
        <v>781</v>
      </c>
      <c r="J234" s="18">
        <v>776</v>
      </c>
    </row>
    <row r="235" spans="1:10" x14ac:dyDescent="0.15">
      <c r="A235" s="19">
        <v>73</v>
      </c>
      <c r="B235" s="14" t="s">
        <v>117</v>
      </c>
      <c r="D235" s="14" t="s">
        <v>782</v>
      </c>
      <c r="E235" s="14" t="s">
        <v>783</v>
      </c>
      <c r="F235" s="15" t="str">
        <f>CONCATENATE(Tabla1[[#This Row],[NOMBRE_MPIO]]," (",Tabla1[[#This Row],[NOMBRE_DEPTO]],")")</f>
        <v>COELLO (TOLIMA)</v>
      </c>
      <c r="G235" s="19" t="s">
        <v>783</v>
      </c>
      <c r="I235" s="14" t="s">
        <v>784</v>
      </c>
      <c r="J235" s="19">
        <v>780</v>
      </c>
    </row>
    <row r="236" spans="1:10" x14ac:dyDescent="0.15">
      <c r="A236" s="19">
        <v>25</v>
      </c>
      <c r="B236" s="14" t="s">
        <v>46</v>
      </c>
      <c r="D236" s="14" t="s">
        <v>785</v>
      </c>
      <c r="E236" s="14" t="s">
        <v>786</v>
      </c>
      <c r="F236" s="15" t="str">
        <f>CONCATENATE(Tabla1[[#This Row],[NOMBRE_MPIO]]," (",Tabla1[[#This Row],[NOMBRE_DEPTO]],")")</f>
        <v>COGUA (CUNDINAMARCA)</v>
      </c>
      <c r="G236" s="19" t="s">
        <v>786</v>
      </c>
      <c r="I236" s="17" t="s">
        <v>787</v>
      </c>
      <c r="J236" s="18">
        <v>788</v>
      </c>
    </row>
    <row r="237" spans="1:10" x14ac:dyDescent="0.15">
      <c r="A237" s="19">
        <v>41</v>
      </c>
      <c r="B237" s="14" t="s">
        <v>32</v>
      </c>
      <c r="D237" s="14" t="s">
        <v>183</v>
      </c>
      <c r="E237" s="14" t="s">
        <v>788</v>
      </c>
      <c r="F237" s="15" t="str">
        <f>CONCATENATE(Tabla1[[#This Row],[NOMBRE_MPIO]]," (",Tabla1[[#This Row],[NOMBRE_DEPTO]],")")</f>
        <v>COLOMBIA (HUILA)</v>
      </c>
      <c r="G237" s="19" t="s">
        <v>788</v>
      </c>
      <c r="I237" s="14" t="s">
        <v>789</v>
      </c>
      <c r="J237" s="19">
        <v>795</v>
      </c>
    </row>
    <row r="238" spans="1:10" x14ac:dyDescent="0.15">
      <c r="A238" s="19">
        <v>52</v>
      </c>
      <c r="B238" s="14" t="s">
        <v>80</v>
      </c>
      <c r="D238" s="14" t="s">
        <v>790</v>
      </c>
      <c r="E238" s="14" t="s">
        <v>791</v>
      </c>
      <c r="F238" s="15" t="str">
        <f>CONCATENATE(Tabla1[[#This Row],[NOMBRE_MPIO]]," (",Tabla1[[#This Row],[NOMBRE_DEPTO]],")")</f>
        <v>COLON (NARIÑO)</v>
      </c>
      <c r="G238" s="19" t="s">
        <v>791</v>
      </c>
      <c r="I238" s="17" t="s">
        <v>792</v>
      </c>
      <c r="J238" s="18">
        <v>792</v>
      </c>
    </row>
    <row r="239" spans="1:10" x14ac:dyDescent="0.15">
      <c r="A239" s="19">
        <v>86</v>
      </c>
      <c r="B239" s="14" t="s">
        <v>793</v>
      </c>
      <c r="C239" s="14" t="s">
        <v>793</v>
      </c>
      <c r="D239" s="14" t="s">
        <v>794</v>
      </c>
      <c r="E239" s="14" t="s">
        <v>795</v>
      </c>
      <c r="F239" s="15" t="str">
        <f>CONCATENATE(Tabla1[[#This Row],[NOMBRE_MPIO]]," (",Tabla1[[#This Row],[NOMBRE_DEPTO]],")")</f>
        <v>COLÓN (PUTUMAYO)</v>
      </c>
      <c r="G239" s="19" t="s">
        <v>795</v>
      </c>
      <c r="I239" s="14" t="s">
        <v>796</v>
      </c>
      <c r="J239" s="19">
        <v>798</v>
      </c>
    </row>
    <row r="240" spans="1:10" x14ac:dyDescent="0.15">
      <c r="A240" s="19">
        <v>70</v>
      </c>
      <c r="B240" s="14" t="s">
        <v>443</v>
      </c>
      <c r="D240" s="14" t="s">
        <v>797</v>
      </c>
      <c r="E240" s="14" t="s">
        <v>798</v>
      </c>
      <c r="F240" s="15" t="str">
        <f>CONCATENATE(Tabla1[[#This Row],[NOMBRE_MPIO]]," (",Tabla1[[#This Row],[NOMBRE_DEPTO]],")")</f>
        <v>COLOSO (SUCRE)</v>
      </c>
      <c r="G240" s="19" t="s">
        <v>798</v>
      </c>
      <c r="I240" s="17" t="s">
        <v>799</v>
      </c>
      <c r="J240" s="18">
        <v>804</v>
      </c>
    </row>
    <row r="241" spans="1:10" x14ac:dyDescent="0.15">
      <c r="A241" s="19">
        <v>15</v>
      </c>
      <c r="B241" s="14" t="s">
        <v>113</v>
      </c>
      <c r="C241" s="14" t="s">
        <v>42</v>
      </c>
      <c r="D241" s="14" t="s">
        <v>800</v>
      </c>
      <c r="E241" s="14" t="s">
        <v>801</v>
      </c>
      <c r="F241" s="15" t="str">
        <f>CONCATENATE(Tabla1[[#This Row],[NOMBRE_MPIO]]," (",Tabla1[[#This Row],[NOMBRE_DEPTO]],")")</f>
        <v>CÓMBITA (BOYACÁ)</v>
      </c>
      <c r="G241" s="19" t="s">
        <v>801</v>
      </c>
      <c r="I241" s="14" t="s">
        <v>802</v>
      </c>
      <c r="J241" s="19">
        <v>800</v>
      </c>
    </row>
    <row r="242" spans="1:10" x14ac:dyDescent="0.15">
      <c r="A242" s="19">
        <v>5</v>
      </c>
      <c r="B242" s="14" t="s">
        <v>9</v>
      </c>
      <c r="C242" s="14" t="s">
        <v>10</v>
      </c>
      <c r="D242" s="14" t="s">
        <v>803</v>
      </c>
      <c r="E242" s="14" t="s">
        <v>804</v>
      </c>
      <c r="F242" s="15" t="str">
        <f>CONCATENATE(Tabla1[[#This Row],[NOMBRE_MPIO]]," (",Tabla1[[#This Row],[NOMBRE_DEPTO]],")")</f>
        <v>CONCEPCIÓN (ANTIOQUIA)</v>
      </c>
      <c r="G242" s="19" t="s">
        <v>804</v>
      </c>
      <c r="I242" s="17" t="s">
        <v>805</v>
      </c>
      <c r="J242" s="18">
        <v>858</v>
      </c>
    </row>
    <row r="243" spans="1:10" x14ac:dyDescent="0.15">
      <c r="A243" s="19">
        <v>68</v>
      </c>
      <c r="B243" s="14" t="s">
        <v>56</v>
      </c>
      <c r="D243" s="14" t="s">
        <v>803</v>
      </c>
      <c r="E243" s="14" t="s">
        <v>806</v>
      </c>
      <c r="F243" s="15" t="str">
        <f>CONCATENATE(Tabla1[[#This Row],[NOMBRE_MPIO]]," (",Tabla1[[#This Row],[NOMBRE_DEPTO]],")")</f>
        <v>CONCEPCIÓN (SANTANDER)</v>
      </c>
      <c r="G243" s="19" t="s">
        <v>806</v>
      </c>
      <c r="I243" s="14" t="s">
        <v>807</v>
      </c>
      <c r="J243" s="19">
        <v>860</v>
      </c>
    </row>
    <row r="244" spans="1:10" x14ac:dyDescent="0.15">
      <c r="A244" s="19">
        <v>5</v>
      </c>
      <c r="B244" s="14" t="s">
        <v>9</v>
      </c>
      <c r="C244" s="14" t="s">
        <v>137</v>
      </c>
      <c r="D244" s="14" t="s">
        <v>808</v>
      </c>
      <c r="E244" s="14" t="s">
        <v>809</v>
      </c>
      <c r="F244" s="15" t="str">
        <f>CONCATENATE(Tabla1[[#This Row],[NOMBRE_MPIO]]," (",Tabla1[[#This Row],[NOMBRE_DEPTO]],")")</f>
        <v>CONCORDIA (ANTIOQUIA)</v>
      </c>
      <c r="G244" s="19" t="s">
        <v>809</v>
      </c>
      <c r="I244" s="17" t="s">
        <v>810</v>
      </c>
      <c r="J244" s="18">
        <v>548</v>
      </c>
    </row>
    <row r="245" spans="1:10" x14ac:dyDescent="0.15">
      <c r="A245" s="19">
        <v>47</v>
      </c>
      <c r="B245" s="14" t="s">
        <v>102</v>
      </c>
      <c r="D245" s="14" t="s">
        <v>808</v>
      </c>
      <c r="E245" s="14" t="s">
        <v>811</v>
      </c>
      <c r="F245" s="15" t="str">
        <f>CONCATENATE(Tabla1[[#This Row],[NOMBRE_MPIO]]," (",Tabla1[[#This Row],[NOMBRE_DEPTO]],")")</f>
        <v>CONCORDIA (MAGDALENA)</v>
      </c>
      <c r="G245" s="19" t="s">
        <v>811</v>
      </c>
      <c r="I245" s="14" t="s">
        <v>812</v>
      </c>
      <c r="J245" s="19">
        <v>862</v>
      </c>
    </row>
    <row r="246" spans="1:10" x14ac:dyDescent="0.15">
      <c r="A246" s="19">
        <v>27</v>
      </c>
      <c r="B246" s="14" t="s">
        <v>27</v>
      </c>
      <c r="D246" s="14" t="s">
        <v>813</v>
      </c>
      <c r="E246" s="14" t="s">
        <v>814</v>
      </c>
      <c r="F246" s="15" t="str">
        <f>CONCATENATE(Tabla1[[#This Row],[NOMBRE_MPIO]]," (",Tabla1[[#This Row],[NOMBRE_DEPTO]],")")</f>
        <v>CONDOTO (CHOCO)</v>
      </c>
      <c r="G246" s="19" t="s">
        <v>814</v>
      </c>
      <c r="I246" s="17" t="s">
        <v>815</v>
      </c>
      <c r="J246" s="18">
        <v>704</v>
      </c>
    </row>
    <row r="247" spans="1:10" x14ac:dyDescent="0.15">
      <c r="A247" s="19">
        <v>68</v>
      </c>
      <c r="B247" s="14" t="s">
        <v>56</v>
      </c>
      <c r="D247" s="14" t="s">
        <v>816</v>
      </c>
      <c r="E247" s="14" t="s">
        <v>817</v>
      </c>
      <c r="F247" s="15" t="str">
        <f>CONCATENATE(Tabla1[[#This Row],[NOMBRE_MPIO]]," (",Tabla1[[#This Row],[NOMBRE_DEPTO]],")")</f>
        <v>CONFINES (SANTANDER)</v>
      </c>
      <c r="G247" s="19" t="s">
        <v>817</v>
      </c>
      <c r="I247" s="14" t="s">
        <v>818</v>
      </c>
      <c r="J247" s="19">
        <v>876</v>
      </c>
    </row>
    <row r="248" spans="1:10" x14ac:dyDescent="0.15">
      <c r="A248" s="19">
        <v>52</v>
      </c>
      <c r="B248" s="14" t="s">
        <v>80</v>
      </c>
      <c r="D248" s="14" t="s">
        <v>819</v>
      </c>
      <c r="E248" s="14" t="s">
        <v>820</v>
      </c>
      <c r="F248" s="15" t="str">
        <f>CONCATENATE(Tabla1[[#This Row],[NOMBRE_MPIO]]," (",Tabla1[[#This Row],[NOMBRE_DEPTO]],")")</f>
        <v>CONSACA (NARIÑO)</v>
      </c>
      <c r="G248" s="19" t="s">
        <v>820</v>
      </c>
      <c r="I248" s="17" t="s">
        <v>821</v>
      </c>
      <c r="J248" s="18">
        <v>887</v>
      </c>
    </row>
    <row r="249" spans="1:10" x14ac:dyDescent="0.15">
      <c r="A249" s="19">
        <v>52</v>
      </c>
      <c r="B249" s="14" t="s">
        <v>80</v>
      </c>
      <c r="D249" s="14" t="s">
        <v>822</v>
      </c>
      <c r="E249" s="14" t="s">
        <v>823</v>
      </c>
      <c r="F249" s="15" t="str">
        <f>CONCATENATE(Tabla1[[#This Row],[NOMBRE_MPIO]]," (",Tabla1[[#This Row],[NOMBRE_DEPTO]],")")</f>
        <v>CONTADERO (NARIÑO)</v>
      </c>
      <c r="G249" s="19" t="s">
        <v>823</v>
      </c>
      <c r="I249" s="14" t="s">
        <v>824</v>
      </c>
      <c r="J249" s="19">
        <v>262</v>
      </c>
    </row>
    <row r="250" spans="1:10" x14ac:dyDescent="0.15">
      <c r="A250" s="19">
        <v>68</v>
      </c>
      <c r="B250" s="14" t="s">
        <v>56</v>
      </c>
      <c r="D250" s="14" t="s">
        <v>825</v>
      </c>
      <c r="E250" s="14" t="s">
        <v>826</v>
      </c>
      <c r="F250" s="15" t="str">
        <f>CONCATENATE(Tabla1[[#This Row],[NOMBRE_MPIO]]," (",Tabla1[[#This Row],[NOMBRE_DEPTO]],")")</f>
        <v>CONTRATACIÓN (SANTANDER)</v>
      </c>
      <c r="G250" s="19" t="s">
        <v>826</v>
      </c>
      <c r="I250" s="17" t="s">
        <v>827</v>
      </c>
      <c r="J250" s="18">
        <v>894</v>
      </c>
    </row>
    <row r="251" spans="1:10" x14ac:dyDescent="0.15">
      <c r="A251" s="19">
        <v>54</v>
      </c>
      <c r="B251" s="14" t="s">
        <v>14</v>
      </c>
      <c r="D251" s="14" t="s">
        <v>828</v>
      </c>
      <c r="E251" s="14" t="s">
        <v>829</v>
      </c>
      <c r="F251" s="15" t="str">
        <f>CONCATENATE(Tabla1[[#This Row],[NOMBRE_MPIO]]," (",Tabla1[[#This Row],[NOMBRE_DEPTO]],")")</f>
        <v>CONVENCIÓN (NORTE DE SANTANDER)</v>
      </c>
      <c r="G251" s="19" t="s">
        <v>829</v>
      </c>
      <c r="I251" s="14" t="s">
        <v>830</v>
      </c>
      <c r="J251" s="19">
        <v>716</v>
      </c>
    </row>
    <row r="252" spans="1:10" x14ac:dyDescent="0.15">
      <c r="A252" s="19">
        <v>5</v>
      </c>
      <c r="B252" s="14" t="s">
        <v>9</v>
      </c>
      <c r="C252" s="14" t="s">
        <v>308</v>
      </c>
      <c r="D252" s="14" t="s">
        <v>831</v>
      </c>
      <c r="E252" s="14" t="s">
        <v>832</v>
      </c>
      <c r="F252" s="15" t="str">
        <f>CONCATENATE(Tabla1[[#This Row],[NOMBRE_MPIO]]," (",Tabla1[[#This Row],[NOMBRE_DEPTO]],")")</f>
        <v>COPACABANA (ANTIOQUIA)</v>
      </c>
      <c r="G252" s="19" t="s">
        <v>832</v>
      </c>
    </row>
    <row r="253" spans="1:10" x14ac:dyDescent="0.15">
      <c r="A253" s="19">
        <v>15</v>
      </c>
      <c r="B253" s="14" t="s">
        <v>113</v>
      </c>
      <c r="C253" s="14" t="s">
        <v>15</v>
      </c>
      <c r="D253" s="14" t="s">
        <v>833</v>
      </c>
      <c r="E253" s="14" t="s">
        <v>834</v>
      </c>
      <c r="F253" s="15" t="str">
        <f>CONCATENATE(Tabla1[[#This Row],[NOMBRE_MPIO]]," (",Tabla1[[#This Row],[NOMBRE_DEPTO]],")")</f>
        <v>COPER (BOYACÁ)</v>
      </c>
      <c r="G253" s="19" t="s">
        <v>834</v>
      </c>
    </row>
    <row r="254" spans="1:10" x14ac:dyDescent="0.15">
      <c r="A254" s="19">
        <v>13</v>
      </c>
      <c r="B254" s="14" t="s">
        <v>37</v>
      </c>
      <c r="C254" s="14" t="s">
        <v>596</v>
      </c>
      <c r="D254" s="14" t="s">
        <v>835</v>
      </c>
      <c r="E254" s="14" t="s">
        <v>836</v>
      </c>
      <c r="F254" s="15" t="str">
        <f>CONCATENATE(Tabla1[[#This Row],[NOMBRE_MPIO]]," (",Tabla1[[#This Row],[NOMBRE_DEPTO]],")")</f>
        <v>CÓRDOBA (BOLIVAR)</v>
      </c>
      <c r="G254" s="19" t="s">
        <v>836</v>
      </c>
    </row>
    <row r="255" spans="1:10" x14ac:dyDescent="0.15">
      <c r="A255" s="19">
        <v>52</v>
      </c>
      <c r="B255" s="14" t="s">
        <v>80</v>
      </c>
      <c r="D255" s="14" t="s">
        <v>835</v>
      </c>
      <c r="E255" s="14" t="s">
        <v>837</v>
      </c>
      <c r="F255" s="15" t="str">
        <f>CONCATENATE(Tabla1[[#This Row],[NOMBRE_MPIO]]," (",Tabla1[[#This Row],[NOMBRE_DEPTO]],")")</f>
        <v>CÓRDOBA (NARIÑO)</v>
      </c>
      <c r="G255" s="19" t="s">
        <v>837</v>
      </c>
    </row>
    <row r="256" spans="1:10" x14ac:dyDescent="0.15">
      <c r="A256" s="19">
        <v>63</v>
      </c>
      <c r="B256" s="14" t="s">
        <v>256</v>
      </c>
      <c r="C256" s="14" t="s">
        <v>838</v>
      </c>
      <c r="D256" s="14" t="s">
        <v>839</v>
      </c>
      <c r="E256" s="14" t="s">
        <v>840</v>
      </c>
      <c r="F256" s="15" t="str">
        <f>CONCATENATE(Tabla1[[#This Row],[NOMBRE_MPIO]]," (",Tabla1[[#This Row],[NOMBRE_DEPTO]],")")</f>
        <v>CoRDOBA (QUINDIO)</v>
      </c>
      <c r="G256" s="19" t="s">
        <v>840</v>
      </c>
    </row>
    <row r="257" spans="1:7" x14ac:dyDescent="0.15">
      <c r="A257" s="19">
        <v>19</v>
      </c>
      <c r="B257" s="14" t="s">
        <v>109</v>
      </c>
      <c r="C257" s="14" t="s">
        <v>62</v>
      </c>
      <c r="D257" s="14" t="s">
        <v>841</v>
      </c>
      <c r="E257" s="14" t="s">
        <v>842</v>
      </c>
      <c r="F257" s="15" t="str">
        <f>CONCATENATE(Tabla1[[#This Row],[NOMBRE_MPIO]]," (",Tabla1[[#This Row],[NOMBRE_DEPTO]],")")</f>
        <v>CORINTO (CAUCA)</v>
      </c>
      <c r="G257" s="19" t="s">
        <v>842</v>
      </c>
    </row>
    <row r="258" spans="1:7" x14ac:dyDescent="0.15">
      <c r="A258" s="19">
        <v>68</v>
      </c>
      <c r="B258" s="14" t="s">
        <v>56</v>
      </c>
      <c r="D258" s="14" t="s">
        <v>843</v>
      </c>
      <c r="E258" s="14" t="s">
        <v>844</v>
      </c>
      <c r="F258" s="15" t="str">
        <f>CONCATENATE(Tabla1[[#This Row],[NOMBRE_MPIO]]," (",Tabla1[[#This Row],[NOMBRE_DEPTO]],")")</f>
        <v>COROMORO (SANTANDER)</v>
      </c>
      <c r="G258" s="19" t="s">
        <v>844</v>
      </c>
    </row>
    <row r="259" spans="1:7" x14ac:dyDescent="0.15">
      <c r="A259" s="19">
        <v>70</v>
      </c>
      <c r="B259" s="14" t="s">
        <v>443</v>
      </c>
      <c r="D259" s="14" t="s">
        <v>845</v>
      </c>
      <c r="E259" s="14" t="s">
        <v>846</v>
      </c>
      <c r="F259" s="15" t="str">
        <f>CONCATENATE(Tabla1[[#This Row],[NOMBRE_MPIO]]," (",Tabla1[[#This Row],[NOMBRE_DEPTO]],")")</f>
        <v>COROZAL (SUCRE)</v>
      </c>
      <c r="G259" s="19" t="s">
        <v>846</v>
      </c>
    </row>
    <row r="260" spans="1:7" x14ac:dyDescent="0.15">
      <c r="A260" s="19">
        <v>15</v>
      </c>
      <c r="B260" s="14" t="s">
        <v>113</v>
      </c>
      <c r="C260" s="14" t="s">
        <v>344</v>
      </c>
      <c r="D260" s="14" t="s">
        <v>847</v>
      </c>
      <c r="E260" s="14" t="s">
        <v>848</v>
      </c>
      <c r="F260" s="15" t="str">
        <f>CONCATENATE(Tabla1[[#This Row],[NOMBRE_MPIO]]," (",Tabla1[[#This Row],[NOMBRE_DEPTO]],")")</f>
        <v>CORRALES (BOYACÁ)</v>
      </c>
      <c r="G260" s="19" t="s">
        <v>848</v>
      </c>
    </row>
    <row r="261" spans="1:7" x14ac:dyDescent="0.15">
      <c r="A261" s="19">
        <v>25</v>
      </c>
      <c r="B261" s="14" t="s">
        <v>46</v>
      </c>
      <c r="D261" s="14" t="s">
        <v>849</v>
      </c>
      <c r="E261" s="14" t="s">
        <v>850</v>
      </c>
      <c r="F261" s="15" t="str">
        <f>CONCATENATE(Tabla1[[#This Row],[NOMBRE_MPIO]]," (",Tabla1[[#This Row],[NOMBRE_DEPTO]],")")</f>
        <v>COTA (CUNDINAMARCA)</v>
      </c>
      <c r="G261" s="19" t="s">
        <v>850</v>
      </c>
    </row>
    <row r="262" spans="1:7" x14ac:dyDescent="0.15">
      <c r="A262" s="19">
        <v>23</v>
      </c>
      <c r="B262" s="14" t="s">
        <v>276</v>
      </c>
      <c r="D262" s="14" t="s">
        <v>851</v>
      </c>
      <c r="E262" s="14" t="s">
        <v>852</v>
      </c>
      <c r="F262" s="15" t="str">
        <f>CONCATENATE(Tabla1[[#This Row],[NOMBRE_MPIO]]," (",Tabla1[[#This Row],[NOMBRE_DEPTO]],")")</f>
        <v>COTORRA (CORDOBA)</v>
      </c>
      <c r="G262" s="19" t="s">
        <v>852</v>
      </c>
    </row>
    <row r="263" spans="1:7" x14ac:dyDescent="0.15">
      <c r="A263" s="19">
        <v>15</v>
      </c>
      <c r="B263" s="14" t="s">
        <v>113</v>
      </c>
      <c r="C263" s="14" t="s">
        <v>62</v>
      </c>
      <c r="D263" s="14" t="s">
        <v>853</v>
      </c>
      <c r="E263" s="14" t="s">
        <v>854</v>
      </c>
      <c r="F263" s="15" t="str">
        <f>CONCATENATE(Tabla1[[#This Row],[NOMBRE_MPIO]]," (",Tabla1[[#This Row],[NOMBRE_DEPTO]],")")</f>
        <v>COVARACHÍA (BOYACÁ)</v>
      </c>
      <c r="G263" s="19" t="s">
        <v>854</v>
      </c>
    </row>
    <row r="264" spans="1:7" x14ac:dyDescent="0.15">
      <c r="A264" s="19">
        <v>70</v>
      </c>
      <c r="B264" s="14" t="s">
        <v>443</v>
      </c>
      <c r="C264" s="14" t="s">
        <v>855</v>
      </c>
      <c r="D264" s="14" t="s">
        <v>856</v>
      </c>
      <c r="E264" s="14" t="s">
        <v>857</v>
      </c>
      <c r="F264" s="15" t="str">
        <f>CONCATENATE(Tabla1[[#This Row],[NOMBRE_MPIO]]," (",Tabla1[[#This Row],[NOMBRE_DEPTO]],")")</f>
        <v>COVEÑAS (SUCRE)</v>
      </c>
      <c r="G264" s="19" t="s">
        <v>857</v>
      </c>
    </row>
    <row r="265" spans="1:7" x14ac:dyDescent="0.15">
      <c r="A265" s="19">
        <v>73</v>
      </c>
      <c r="B265" s="14" t="s">
        <v>117</v>
      </c>
      <c r="D265" s="14" t="s">
        <v>858</v>
      </c>
      <c r="E265" s="14" t="s">
        <v>859</v>
      </c>
      <c r="F265" s="15" t="str">
        <f>CONCATENATE(Tabla1[[#This Row],[NOMBRE_MPIO]]," (",Tabla1[[#This Row],[NOMBRE_DEPTO]],")")</f>
        <v>COYAIMA (TOLIMA)</v>
      </c>
      <c r="G265" s="19" t="s">
        <v>859</v>
      </c>
    </row>
    <row r="266" spans="1:7" x14ac:dyDescent="0.15">
      <c r="A266" s="19">
        <v>81</v>
      </c>
      <c r="B266" s="14" t="s">
        <v>213</v>
      </c>
      <c r="C266" s="14" t="s">
        <v>213</v>
      </c>
      <c r="D266" s="14" t="s">
        <v>860</v>
      </c>
      <c r="E266" s="14" t="s">
        <v>861</v>
      </c>
      <c r="F266" s="15" t="str">
        <f>CONCATENATE(Tabla1[[#This Row],[NOMBRE_MPIO]]," (",Tabla1[[#This Row],[NOMBRE_DEPTO]],")")</f>
        <v>CRAVO NORTE (ARAUCA)</v>
      </c>
      <c r="G266" s="19" t="s">
        <v>861</v>
      </c>
    </row>
    <row r="267" spans="1:7" x14ac:dyDescent="0.15">
      <c r="A267" s="19">
        <v>52</v>
      </c>
      <c r="B267" s="14" t="s">
        <v>80</v>
      </c>
      <c r="D267" s="14" t="s">
        <v>862</v>
      </c>
      <c r="E267" s="14" t="s">
        <v>863</v>
      </c>
      <c r="F267" s="15" t="str">
        <f>CONCATENATE(Tabla1[[#This Row],[NOMBRE_MPIO]]," (",Tabla1[[#This Row],[NOMBRE_DEPTO]],")")</f>
        <v>CUASPUD (NARIÑO)</v>
      </c>
      <c r="G267" s="19" t="s">
        <v>863</v>
      </c>
    </row>
    <row r="268" spans="1:7" x14ac:dyDescent="0.15">
      <c r="A268" s="19">
        <v>15</v>
      </c>
      <c r="B268" s="14" t="s">
        <v>113</v>
      </c>
      <c r="C268" s="14" t="s">
        <v>725</v>
      </c>
      <c r="D268" s="14" t="s">
        <v>864</v>
      </c>
      <c r="E268" s="14" t="s">
        <v>865</v>
      </c>
      <c r="F268" s="15" t="str">
        <f>CONCATENATE(Tabla1[[#This Row],[NOMBRE_MPIO]]," (",Tabla1[[#This Row],[NOMBRE_DEPTO]],")")</f>
        <v>CUBARÁ (BOYACÁ)</v>
      </c>
      <c r="G268" s="19" t="s">
        <v>865</v>
      </c>
    </row>
    <row r="269" spans="1:7" x14ac:dyDescent="0.15">
      <c r="A269" s="19">
        <v>15</v>
      </c>
      <c r="B269" s="14" t="s">
        <v>113</v>
      </c>
      <c r="C269" s="14" t="s">
        <v>42</v>
      </c>
      <c r="D269" s="14" t="s">
        <v>866</v>
      </c>
      <c r="E269" s="14" t="s">
        <v>867</v>
      </c>
      <c r="F269" s="15" t="str">
        <f>CONCATENATE(Tabla1[[#This Row],[NOMBRE_MPIO]]," (",Tabla1[[#This Row],[NOMBRE_DEPTO]],")")</f>
        <v>CUCAITA (BOYACÁ)</v>
      </c>
      <c r="G269" s="19" t="s">
        <v>867</v>
      </c>
    </row>
    <row r="270" spans="1:7" x14ac:dyDescent="0.15">
      <c r="A270" s="19">
        <v>25</v>
      </c>
      <c r="B270" s="14" t="s">
        <v>46</v>
      </c>
      <c r="D270" s="14" t="s">
        <v>868</v>
      </c>
      <c r="E270" s="14" t="s">
        <v>869</v>
      </c>
      <c r="F270" s="15" t="str">
        <f>CONCATENATE(Tabla1[[#This Row],[NOMBRE_MPIO]]," (",Tabla1[[#This Row],[NOMBRE_DEPTO]],")")</f>
        <v>CUCUNUBÁ (CUNDINAMARCA)</v>
      </c>
      <c r="G270" s="19" t="s">
        <v>869</v>
      </c>
    </row>
    <row r="271" spans="1:7" x14ac:dyDescent="0.15">
      <c r="A271" s="19">
        <v>54</v>
      </c>
      <c r="B271" s="14" t="s">
        <v>14</v>
      </c>
      <c r="C271" s="14" t="s">
        <v>870</v>
      </c>
      <c r="D271" s="14" t="s">
        <v>871</v>
      </c>
      <c r="E271" s="14" t="s">
        <v>872</v>
      </c>
      <c r="F271" s="15" t="str">
        <f>CONCATENATE(Tabla1[[#This Row],[NOMBRE_MPIO]]," (",Tabla1[[#This Row],[NOMBRE_DEPTO]],")")</f>
        <v>CÚCUTA (NORTE DE SANTANDER)</v>
      </c>
      <c r="G271" s="19" t="s">
        <v>872</v>
      </c>
    </row>
    <row r="272" spans="1:7" x14ac:dyDescent="0.15">
      <c r="A272" s="19">
        <v>54</v>
      </c>
      <c r="B272" s="14" t="s">
        <v>14</v>
      </c>
      <c r="D272" s="14" t="s">
        <v>873</v>
      </c>
      <c r="E272" s="14" t="s">
        <v>874</v>
      </c>
      <c r="F272" s="15" t="str">
        <f>CONCATENATE(Tabla1[[#This Row],[NOMBRE_MPIO]]," (",Tabla1[[#This Row],[NOMBRE_DEPTO]],")")</f>
        <v>CUCUTILLA (NORTE DE SANTANDER)</v>
      </c>
      <c r="G272" s="19" t="s">
        <v>874</v>
      </c>
    </row>
    <row r="273" spans="1:7" x14ac:dyDescent="0.15">
      <c r="A273" s="19">
        <v>15</v>
      </c>
      <c r="B273" s="14" t="s">
        <v>113</v>
      </c>
      <c r="C273" s="14" t="s">
        <v>199</v>
      </c>
      <c r="D273" s="14" t="s">
        <v>875</v>
      </c>
      <c r="E273" s="14" t="s">
        <v>876</v>
      </c>
      <c r="F273" s="15" t="str">
        <f>CONCATENATE(Tabla1[[#This Row],[NOMBRE_MPIO]]," (",Tabla1[[#This Row],[NOMBRE_DEPTO]],")")</f>
        <v>CUÍTIVA (BOYACÁ)</v>
      </c>
      <c r="G273" s="19" t="s">
        <v>876</v>
      </c>
    </row>
    <row r="274" spans="1:7" x14ac:dyDescent="0.15">
      <c r="A274" s="19">
        <v>50</v>
      </c>
      <c r="B274" s="14" t="s">
        <v>22</v>
      </c>
      <c r="D274" s="14" t="s">
        <v>877</v>
      </c>
      <c r="E274" s="14" t="s">
        <v>878</v>
      </c>
      <c r="F274" s="15" t="str">
        <f>CONCATENATE(Tabla1[[#This Row],[NOMBRE_MPIO]]," (",Tabla1[[#This Row],[NOMBRE_DEPTO]],")")</f>
        <v>CUMARAL (META)</v>
      </c>
      <c r="G274" s="19" t="s">
        <v>878</v>
      </c>
    </row>
    <row r="275" spans="1:7" x14ac:dyDescent="0.15">
      <c r="A275" s="19">
        <v>99</v>
      </c>
      <c r="B275" s="14" t="s">
        <v>879</v>
      </c>
      <c r="C275" s="14" t="s">
        <v>879</v>
      </c>
      <c r="D275" s="14" t="s">
        <v>880</v>
      </c>
      <c r="E275" s="14" t="s">
        <v>881</v>
      </c>
      <c r="F275" s="15" t="str">
        <f>CONCATENATE(Tabla1[[#This Row],[NOMBRE_MPIO]]," (",Tabla1[[#This Row],[NOMBRE_DEPTO]],")")</f>
        <v>CUMARIBO (VICHADA)</v>
      </c>
      <c r="G275" s="19" t="s">
        <v>881</v>
      </c>
    </row>
    <row r="276" spans="1:7" x14ac:dyDescent="0.15">
      <c r="A276" s="19">
        <v>52</v>
      </c>
      <c r="B276" s="14" t="s">
        <v>80</v>
      </c>
      <c r="D276" s="14" t="s">
        <v>882</v>
      </c>
      <c r="E276" s="14" t="s">
        <v>883</v>
      </c>
      <c r="F276" s="15" t="str">
        <f>CONCATENATE(Tabla1[[#This Row],[NOMBRE_MPIO]]," (",Tabla1[[#This Row],[NOMBRE_DEPTO]],")")</f>
        <v>CUMBAL (NARIÑO)</v>
      </c>
      <c r="G276" s="19" t="s">
        <v>883</v>
      </c>
    </row>
    <row r="277" spans="1:7" x14ac:dyDescent="0.15">
      <c r="A277" s="19">
        <v>52</v>
      </c>
      <c r="B277" s="14" t="s">
        <v>80</v>
      </c>
      <c r="D277" s="14" t="s">
        <v>884</v>
      </c>
      <c r="E277" s="14" t="s">
        <v>885</v>
      </c>
      <c r="F277" s="15" t="str">
        <f>CONCATENATE(Tabla1[[#This Row],[NOMBRE_MPIO]]," (",Tabla1[[#This Row],[NOMBRE_DEPTO]],")")</f>
        <v>CUMBITARA (NARIÑO)</v>
      </c>
      <c r="G277" s="19" t="s">
        <v>885</v>
      </c>
    </row>
    <row r="278" spans="1:7" x14ac:dyDescent="0.15">
      <c r="A278" s="19">
        <v>73</v>
      </c>
      <c r="B278" s="14" t="s">
        <v>117</v>
      </c>
      <c r="D278" s="14" t="s">
        <v>886</v>
      </c>
      <c r="E278" s="14" t="s">
        <v>887</v>
      </c>
      <c r="F278" s="15" t="str">
        <f>CONCATENATE(Tabla1[[#This Row],[NOMBRE_MPIO]]," (",Tabla1[[#This Row],[NOMBRE_DEPTO]],")")</f>
        <v>CUNDAY (TOLIMA)</v>
      </c>
      <c r="G278" s="19" t="s">
        <v>887</v>
      </c>
    </row>
    <row r="279" spans="1:7" x14ac:dyDescent="0.15">
      <c r="A279" s="19">
        <v>68</v>
      </c>
      <c r="B279" s="14" t="s">
        <v>56</v>
      </c>
      <c r="D279" s="14" t="s">
        <v>888</v>
      </c>
      <c r="E279" s="14" t="s">
        <v>889</v>
      </c>
      <c r="F279" s="15" t="str">
        <f>CONCATENATE(Tabla1[[#This Row],[NOMBRE_MPIO]]," (",Tabla1[[#This Row],[NOMBRE_DEPTO]],")")</f>
        <v>CURITÍ (SANTANDER)</v>
      </c>
      <c r="G279" s="19" t="s">
        <v>889</v>
      </c>
    </row>
    <row r="280" spans="1:7" x14ac:dyDescent="0.15">
      <c r="A280" s="19">
        <v>18</v>
      </c>
      <c r="B280" s="14" t="s">
        <v>84</v>
      </c>
      <c r="C280" s="14" t="s">
        <v>84</v>
      </c>
      <c r="D280" s="14" t="s">
        <v>890</v>
      </c>
      <c r="E280" s="14" t="s">
        <v>891</v>
      </c>
      <c r="F280" s="15" t="str">
        <f>CONCATENATE(Tabla1[[#This Row],[NOMBRE_MPIO]]," (",Tabla1[[#This Row],[NOMBRE_DEPTO]],")")</f>
        <v>CURRILLO (CAQUETA)</v>
      </c>
      <c r="G280" s="19" t="s">
        <v>891</v>
      </c>
    </row>
    <row r="281" spans="1:7" x14ac:dyDescent="0.15">
      <c r="A281" s="19">
        <v>20</v>
      </c>
      <c r="B281" s="14" t="s">
        <v>51</v>
      </c>
      <c r="C281" s="14" t="s">
        <v>337</v>
      </c>
      <c r="D281" s="14" t="s">
        <v>892</v>
      </c>
      <c r="E281" s="14" t="s">
        <v>893</v>
      </c>
      <c r="F281" s="15" t="str">
        <f>CONCATENATE(Tabla1[[#This Row],[NOMBRE_MPIO]]," (",Tabla1[[#This Row],[NOMBRE_DEPTO]],")")</f>
        <v>CURUMANÍ (CESAR)</v>
      </c>
      <c r="G281" s="19" t="s">
        <v>893</v>
      </c>
    </row>
    <row r="282" spans="1:7" x14ac:dyDescent="0.15">
      <c r="A282" s="19">
        <v>5</v>
      </c>
      <c r="B282" s="14" t="s">
        <v>9</v>
      </c>
      <c r="C282" s="14" t="s">
        <v>15</v>
      </c>
      <c r="D282" s="14" t="s">
        <v>894</v>
      </c>
      <c r="E282" s="14" t="s">
        <v>895</v>
      </c>
      <c r="F282" s="15" t="str">
        <f>CONCATENATE(Tabla1[[#This Row],[NOMBRE_MPIO]]," (",Tabla1[[#This Row],[NOMBRE_DEPTO]],")")</f>
        <v>DABEIBA (ANTIOQUIA)</v>
      </c>
      <c r="G282" s="19" t="s">
        <v>895</v>
      </c>
    </row>
    <row r="283" spans="1:7" x14ac:dyDescent="0.15">
      <c r="A283" s="19">
        <v>76</v>
      </c>
      <c r="B283" s="14" t="s">
        <v>92</v>
      </c>
      <c r="D283" s="14" t="s">
        <v>896</v>
      </c>
      <c r="E283" s="14" t="s">
        <v>897</v>
      </c>
      <c r="F283" s="15" t="str">
        <f>CONCATENATE(Tabla1[[#This Row],[NOMBRE_MPIO]]," (",Tabla1[[#This Row],[NOMBRE_DEPTO]],")")</f>
        <v>DAGUA (VALLE DEL CAUCA)</v>
      </c>
      <c r="G283" s="19" t="s">
        <v>897</v>
      </c>
    </row>
    <row r="284" spans="1:7" x14ac:dyDescent="0.15">
      <c r="A284" s="19">
        <v>44</v>
      </c>
      <c r="B284" s="14" t="s">
        <v>87</v>
      </c>
      <c r="D284" s="14" t="s">
        <v>898</v>
      </c>
      <c r="E284" s="14" t="s">
        <v>899</v>
      </c>
      <c r="F284" s="15" t="str">
        <f>CONCATENATE(Tabla1[[#This Row],[NOMBRE_MPIO]]," (",Tabla1[[#This Row],[NOMBRE_DEPTO]],")")</f>
        <v>DIBULLA (LA GUAJIRA)</v>
      </c>
      <c r="G284" s="19" t="s">
        <v>899</v>
      </c>
    </row>
    <row r="285" spans="1:7" x14ac:dyDescent="0.15">
      <c r="A285" s="19">
        <v>44</v>
      </c>
      <c r="B285" s="14" t="s">
        <v>87</v>
      </c>
      <c r="D285" s="14" t="s">
        <v>900</v>
      </c>
      <c r="E285" s="14" t="s">
        <v>901</v>
      </c>
      <c r="F285" s="15" t="str">
        <f>CONCATENATE(Tabla1[[#This Row],[NOMBRE_MPIO]]," (",Tabla1[[#This Row],[NOMBRE_DEPTO]],")")</f>
        <v>DISTRACCION (LA GUAJIRA)</v>
      </c>
      <c r="G285" s="19" t="s">
        <v>901</v>
      </c>
    </row>
    <row r="286" spans="1:7" x14ac:dyDescent="0.15">
      <c r="A286" s="19">
        <v>73</v>
      </c>
      <c r="B286" s="14" t="s">
        <v>117</v>
      </c>
      <c r="D286" s="14" t="s">
        <v>902</v>
      </c>
      <c r="E286" s="14" t="s">
        <v>903</v>
      </c>
      <c r="F286" s="15" t="str">
        <f>CONCATENATE(Tabla1[[#This Row],[NOMBRE_MPIO]]," (",Tabla1[[#This Row],[NOMBRE_DEPTO]],")")</f>
        <v>DOLORES (TOLIMA)</v>
      </c>
      <c r="G286" s="19" t="s">
        <v>903</v>
      </c>
    </row>
    <row r="287" spans="1:7" x14ac:dyDescent="0.15">
      <c r="A287" s="19">
        <v>5</v>
      </c>
      <c r="B287" s="14" t="s">
        <v>9</v>
      </c>
      <c r="C287" s="14" t="s">
        <v>62</v>
      </c>
      <c r="D287" s="14" t="s">
        <v>904</v>
      </c>
      <c r="E287" s="14" t="s">
        <v>905</v>
      </c>
      <c r="F287" s="15" t="str">
        <f>CONCATENATE(Tabla1[[#This Row],[NOMBRE_MPIO]]," (",Tabla1[[#This Row],[NOMBRE_DEPTO]],")")</f>
        <v>DON MATiAS (ANTIOQUIA)</v>
      </c>
      <c r="G287" s="19" t="s">
        <v>905</v>
      </c>
    </row>
    <row r="288" spans="1:7" x14ac:dyDescent="0.15">
      <c r="A288" s="19">
        <v>66</v>
      </c>
      <c r="B288" s="14" t="s">
        <v>191</v>
      </c>
      <c r="C288" s="14" t="s">
        <v>906</v>
      </c>
      <c r="D288" s="14" t="s">
        <v>907</v>
      </c>
      <c r="E288" s="14" t="s">
        <v>908</v>
      </c>
      <c r="F288" s="15" t="str">
        <f>CONCATENATE(Tabla1[[#This Row],[NOMBRE_MPIO]]," (",Tabla1[[#This Row],[NOMBRE_DEPTO]],")")</f>
        <v>DOSQUEBRADAS (RISARALDA)</v>
      </c>
      <c r="G288" s="19" t="s">
        <v>908</v>
      </c>
    </row>
    <row r="289" spans="1:7" x14ac:dyDescent="0.15">
      <c r="A289" s="19">
        <v>15</v>
      </c>
      <c r="B289" s="14" t="s">
        <v>113</v>
      </c>
      <c r="C289" s="14" t="s">
        <v>344</v>
      </c>
      <c r="D289" s="14" t="s">
        <v>909</v>
      </c>
      <c r="E289" s="14" t="s">
        <v>910</v>
      </c>
      <c r="F289" s="15" t="str">
        <f>CONCATENATE(Tabla1[[#This Row],[NOMBRE_MPIO]]," (",Tabla1[[#This Row],[NOMBRE_DEPTO]],")")</f>
        <v>DUITAMA (BOYACÁ)</v>
      </c>
      <c r="G289" s="19" t="s">
        <v>910</v>
      </c>
    </row>
    <row r="290" spans="1:7" x14ac:dyDescent="0.15">
      <c r="A290" s="19">
        <v>54</v>
      </c>
      <c r="B290" s="14" t="s">
        <v>14</v>
      </c>
      <c r="D290" s="14" t="s">
        <v>911</v>
      </c>
      <c r="E290" s="14" t="s">
        <v>912</v>
      </c>
      <c r="F290" s="15" t="str">
        <f>CONCATENATE(Tabla1[[#This Row],[NOMBRE_MPIO]]," (",Tabla1[[#This Row],[NOMBRE_DEPTO]],")")</f>
        <v>DURANIA (NORTE DE SANTANDER)</v>
      </c>
      <c r="G290" s="19" t="s">
        <v>912</v>
      </c>
    </row>
    <row r="291" spans="1:7" x14ac:dyDescent="0.15">
      <c r="A291" s="19">
        <v>5</v>
      </c>
      <c r="B291" s="14" t="s">
        <v>9</v>
      </c>
      <c r="C291" s="14" t="s">
        <v>15</v>
      </c>
      <c r="D291" s="14" t="s">
        <v>913</v>
      </c>
      <c r="E291" s="14" t="s">
        <v>914</v>
      </c>
      <c r="F291" s="15" t="str">
        <f>CONCATENATE(Tabla1[[#This Row],[NOMBRE_MPIO]]," (",Tabla1[[#This Row],[NOMBRE_DEPTO]],")")</f>
        <v>EBÉJICO (ANTIOQUIA)</v>
      </c>
      <c r="G291" s="19" t="s">
        <v>914</v>
      </c>
    </row>
    <row r="292" spans="1:7" x14ac:dyDescent="0.15">
      <c r="A292" s="19">
        <v>76</v>
      </c>
      <c r="B292" s="14" t="s">
        <v>92</v>
      </c>
      <c r="D292" s="14" t="s">
        <v>915</v>
      </c>
      <c r="E292" s="14" t="s">
        <v>916</v>
      </c>
      <c r="F292" s="15" t="str">
        <f>CONCATENATE(Tabla1[[#This Row],[NOMBRE_MPIO]]," (",Tabla1[[#This Row],[NOMBRE_DEPTO]],")")</f>
        <v>EL ÁGUILA (VALLE DEL CAUCA)</v>
      </c>
      <c r="G292" s="19" t="s">
        <v>916</v>
      </c>
    </row>
    <row r="293" spans="1:7" x14ac:dyDescent="0.15">
      <c r="A293" s="19">
        <v>5</v>
      </c>
      <c r="B293" s="14" t="s">
        <v>9</v>
      </c>
      <c r="C293" s="14" t="s">
        <v>477</v>
      </c>
      <c r="D293" s="14" t="s">
        <v>917</v>
      </c>
      <c r="E293" s="14" t="s">
        <v>918</v>
      </c>
      <c r="F293" s="15" t="str">
        <f>CONCATENATE(Tabla1[[#This Row],[NOMBRE_MPIO]]," (",Tabla1[[#This Row],[NOMBRE_DEPTO]],")")</f>
        <v>EL BAGRE (ANTIOQUIA)</v>
      </c>
      <c r="G293" s="19" t="s">
        <v>918</v>
      </c>
    </row>
    <row r="294" spans="1:7" x14ac:dyDescent="0.15">
      <c r="A294" s="19">
        <v>47</v>
      </c>
      <c r="B294" s="14" t="s">
        <v>102</v>
      </c>
      <c r="C294" s="14" t="s">
        <v>33</v>
      </c>
      <c r="D294" s="14" t="s">
        <v>919</v>
      </c>
      <c r="E294" s="14" t="s">
        <v>920</v>
      </c>
      <c r="F294" s="15" t="str">
        <f>CONCATENATE(Tabla1[[#This Row],[NOMBRE_MPIO]]," (",Tabla1[[#This Row],[NOMBRE_DEPTO]],")")</f>
        <v>EL BANCO (MAGDALENA)</v>
      </c>
      <c r="G294" s="19" t="s">
        <v>920</v>
      </c>
    </row>
    <row r="295" spans="1:7" x14ac:dyDescent="0.15">
      <c r="A295" s="19">
        <v>76</v>
      </c>
      <c r="B295" s="14" t="s">
        <v>92</v>
      </c>
      <c r="D295" s="14" t="s">
        <v>921</v>
      </c>
      <c r="E295" s="14" t="s">
        <v>922</v>
      </c>
      <c r="F295" s="15" t="str">
        <f>CONCATENATE(Tabla1[[#This Row],[NOMBRE_MPIO]]," (",Tabla1[[#This Row],[NOMBRE_DEPTO]],")")</f>
        <v>EL CAIRO (VALLE DEL CAUCA)</v>
      </c>
      <c r="G295" s="19" t="s">
        <v>922</v>
      </c>
    </row>
    <row r="296" spans="1:7" x14ac:dyDescent="0.15">
      <c r="A296" s="19">
        <v>50</v>
      </c>
      <c r="B296" s="14" t="s">
        <v>22</v>
      </c>
      <c r="D296" s="14" t="s">
        <v>923</v>
      </c>
      <c r="E296" s="14" t="s">
        <v>924</v>
      </c>
      <c r="F296" s="15" t="str">
        <f>CONCATENATE(Tabla1[[#This Row],[NOMBRE_MPIO]]," (",Tabla1[[#This Row],[NOMBRE_DEPTO]],")")</f>
        <v>EL CALVARIO (META)</v>
      </c>
      <c r="G296" s="19" t="s">
        <v>924</v>
      </c>
    </row>
    <row r="297" spans="1:7" x14ac:dyDescent="0.15">
      <c r="A297" s="19">
        <v>54</v>
      </c>
      <c r="B297" s="14" t="s">
        <v>14</v>
      </c>
      <c r="D297" s="14" t="s">
        <v>925</v>
      </c>
      <c r="E297" s="14" t="s">
        <v>926</v>
      </c>
      <c r="F297" s="15" t="str">
        <f>CONCATENATE(Tabla1[[#This Row],[NOMBRE_MPIO]]," (",Tabla1[[#This Row],[NOMBRE_DEPTO]],")")</f>
        <v>EL CARMEN (NORTE DE SANTANDER)</v>
      </c>
      <c r="G297" s="19" t="s">
        <v>926</v>
      </c>
    </row>
    <row r="298" spans="1:7" x14ac:dyDescent="0.15">
      <c r="A298" s="19">
        <v>27</v>
      </c>
      <c r="B298" s="14" t="s">
        <v>27</v>
      </c>
      <c r="C298" s="14" t="s">
        <v>273</v>
      </c>
      <c r="D298" s="14" t="s">
        <v>927</v>
      </c>
      <c r="E298" s="14" t="s">
        <v>928</v>
      </c>
      <c r="F298" s="15" t="str">
        <f>CONCATENATE(Tabla1[[#This Row],[NOMBRE_MPIO]]," (",Tabla1[[#This Row],[NOMBRE_DEPTO]],")")</f>
        <v>EL CARMEN DE ATRATO (CHOCO)</v>
      </c>
      <c r="G298" s="19" t="s">
        <v>928</v>
      </c>
    </row>
    <row r="299" spans="1:7" x14ac:dyDescent="0.15">
      <c r="A299" s="19">
        <v>68</v>
      </c>
      <c r="B299" s="14" t="s">
        <v>56</v>
      </c>
      <c r="D299" s="14" t="s">
        <v>929</v>
      </c>
      <c r="E299" s="14" t="s">
        <v>930</v>
      </c>
      <c r="F299" s="15" t="str">
        <f>CONCATENATE(Tabla1[[#This Row],[NOMBRE_MPIO]]," (",Tabla1[[#This Row],[NOMBRE_DEPTO]],")")</f>
        <v>EL CARMEN DE CHUCURÍ (SANTANDER)</v>
      </c>
      <c r="G299" s="19" t="s">
        <v>930</v>
      </c>
    </row>
    <row r="300" spans="1:7" x14ac:dyDescent="0.15">
      <c r="A300" s="19">
        <v>50</v>
      </c>
      <c r="B300" s="14" t="s">
        <v>22</v>
      </c>
      <c r="C300" s="14" t="s">
        <v>931</v>
      </c>
      <c r="D300" s="14" t="s">
        <v>932</v>
      </c>
      <c r="E300" s="14" t="s">
        <v>933</v>
      </c>
      <c r="F300" s="15" t="str">
        <f>CONCATENATE(Tabla1[[#This Row],[NOMBRE_MPIO]]," (",Tabla1[[#This Row],[NOMBRE_DEPTO]],")")</f>
        <v>EL CASTILLO (META)</v>
      </c>
      <c r="G300" s="19" t="s">
        <v>933</v>
      </c>
    </row>
    <row r="301" spans="1:7" x14ac:dyDescent="0.15">
      <c r="A301" s="19">
        <v>76</v>
      </c>
      <c r="B301" s="14" t="s">
        <v>92</v>
      </c>
      <c r="D301" s="14" t="s">
        <v>934</v>
      </c>
      <c r="E301" s="14" t="s">
        <v>935</v>
      </c>
      <c r="F301" s="15" t="str">
        <f>CONCATENATE(Tabla1[[#This Row],[NOMBRE_MPIO]]," (",Tabla1[[#This Row],[NOMBRE_DEPTO]],")")</f>
        <v>EL CERRITO (VALLE DEL CAUCA)</v>
      </c>
      <c r="G301" s="19" t="s">
        <v>935</v>
      </c>
    </row>
    <row r="302" spans="1:7" x14ac:dyDescent="0.15">
      <c r="A302" s="19">
        <v>52</v>
      </c>
      <c r="B302" s="14" t="s">
        <v>80</v>
      </c>
      <c r="D302" s="14" t="s">
        <v>936</v>
      </c>
      <c r="E302" s="14" t="s">
        <v>937</v>
      </c>
      <c r="F302" s="15" t="str">
        <f>CONCATENATE(Tabla1[[#This Row],[NOMBRE_MPIO]]," (",Tabla1[[#This Row],[NOMBRE_DEPTO]],")")</f>
        <v>EL CHARCO (NARIÑO)</v>
      </c>
      <c r="G302" s="19" t="s">
        <v>937</v>
      </c>
    </row>
    <row r="303" spans="1:7" x14ac:dyDescent="0.15">
      <c r="A303" s="19">
        <v>15</v>
      </c>
      <c r="B303" s="14" t="s">
        <v>113</v>
      </c>
      <c r="C303" s="14" t="s">
        <v>725</v>
      </c>
      <c r="D303" s="14" t="s">
        <v>938</v>
      </c>
      <c r="E303" s="14" t="s">
        <v>939</v>
      </c>
      <c r="F303" s="15" t="str">
        <f>CONCATENATE(Tabla1[[#This Row],[NOMBRE_MPIO]]," (",Tabla1[[#This Row],[NOMBRE_DEPTO]],")")</f>
        <v>EL COCUY (BOYACÁ)</v>
      </c>
      <c r="G303" s="19" t="s">
        <v>939</v>
      </c>
    </row>
    <row r="304" spans="1:7" x14ac:dyDescent="0.15">
      <c r="A304" s="19">
        <v>25</v>
      </c>
      <c r="B304" s="14" t="s">
        <v>46</v>
      </c>
      <c r="D304" s="14" t="s">
        <v>940</v>
      </c>
      <c r="E304" s="14" t="s">
        <v>941</v>
      </c>
      <c r="F304" s="15" t="str">
        <f>CONCATENATE(Tabla1[[#This Row],[NOMBRE_MPIO]]," (",Tabla1[[#This Row],[NOMBRE_DEPTO]],")")</f>
        <v>EL COLEGIO (CUNDINAMARCA)</v>
      </c>
      <c r="G304" s="19" t="s">
        <v>941</v>
      </c>
    </row>
    <row r="305" spans="1:7" x14ac:dyDescent="0.15">
      <c r="A305" s="19">
        <v>20</v>
      </c>
      <c r="B305" s="14" t="s">
        <v>51</v>
      </c>
      <c r="C305" s="14" t="s">
        <v>266</v>
      </c>
      <c r="D305" s="14" t="s">
        <v>942</v>
      </c>
      <c r="E305" s="14" t="s">
        <v>943</v>
      </c>
      <c r="F305" s="15" t="str">
        <f>CONCATENATE(Tabla1[[#This Row],[NOMBRE_MPIO]]," (",Tabla1[[#This Row],[NOMBRE_DEPTO]],")")</f>
        <v>EL COPEY (CESAR)</v>
      </c>
      <c r="G305" s="19" t="s">
        <v>943</v>
      </c>
    </row>
    <row r="306" spans="1:7" x14ac:dyDescent="0.15">
      <c r="A306" s="19">
        <v>18</v>
      </c>
      <c r="B306" s="14" t="s">
        <v>84</v>
      </c>
      <c r="C306" s="14" t="s">
        <v>84</v>
      </c>
      <c r="D306" s="14" t="s">
        <v>944</v>
      </c>
      <c r="E306" s="14" t="s">
        <v>945</v>
      </c>
      <c r="F306" s="15" t="str">
        <f>CONCATENATE(Tabla1[[#This Row],[NOMBRE_MPIO]]," (",Tabla1[[#This Row],[NOMBRE_DEPTO]],")")</f>
        <v>EL DONCELLO (CAQUETA)</v>
      </c>
      <c r="G306" s="19" t="s">
        <v>945</v>
      </c>
    </row>
    <row r="307" spans="1:7" x14ac:dyDescent="0.15">
      <c r="A307" s="19">
        <v>50</v>
      </c>
      <c r="B307" s="14" t="s">
        <v>22</v>
      </c>
      <c r="D307" s="14" t="s">
        <v>946</v>
      </c>
      <c r="E307" s="14" t="s">
        <v>947</v>
      </c>
      <c r="F307" s="15" t="str">
        <f>CONCATENATE(Tabla1[[#This Row],[NOMBRE_MPIO]]," (",Tabla1[[#This Row],[NOMBRE_DEPTO]],")")</f>
        <v>EL DORADO (META)</v>
      </c>
      <c r="G307" s="19" t="s">
        <v>947</v>
      </c>
    </row>
    <row r="308" spans="1:7" x14ac:dyDescent="0.15">
      <c r="A308" s="19">
        <v>76</v>
      </c>
      <c r="B308" s="14" t="s">
        <v>92</v>
      </c>
      <c r="D308" s="14" t="s">
        <v>948</v>
      </c>
      <c r="E308" s="14" t="s">
        <v>949</v>
      </c>
      <c r="F308" s="15" t="str">
        <f>CONCATENATE(Tabla1[[#This Row],[NOMBRE_MPIO]]," (",Tabla1[[#This Row],[NOMBRE_DEPTO]],")")</f>
        <v>EL DOVIO (VALLE DEL CAUCA)</v>
      </c>
      <c r="G308" s="19" t="s">
        <v>949</v>
      </c>
    </row>
    <row r="309" spans="1:7" x14ac:dyDescent="0.15">
      <c r="A309" s="19">
        <v>91</v>
      </c>
      <c r="B309" s="14" t="s">
        <v>950</v>
      </c>
      <c r="C309" s="14" t="s">
        <v>950</v>
      </c>
      <c r="D309" s="14" t="s">
        <v>951</v>
      </c>
      <c r="E309" s="15">
        <v>91263</v>
      </c>
      <c r="F309" s="15" t="str">
        <f>CONCATENATE(Tabla1[[#This Row],[NOMBRE_MPIO]]," (",Tabla1[[#This Row],[NOMBRE_DEPTO]],")")</f>
        <v>EL ENCANTO (AMAZONAS)</v>
      </c>
      <c r="G309" s="19">
        <v>91263</v>
      </c>
    </row>
    <row r="310" spans="1:7" x14ac:dyDescent="0.15">
      <c r="A310" s="19">
        <v>15</v>
      </c>
      <c r="B310" s="14" t="s">
        <v>113</v>
      </c>
      <c r="C310" s="14" t="s">
        <v>725</v>
      </c>
      <c r="D310" s="14" t="s">
        <v>952</v>
      </c>
      <c r="E310" s="14" t="s">
        <v>953</v>
      </c>
      <c r="F310" s="15" t="str">
        <f>CONCATENATE(Tabla1[[#This Row],[NOMBRE_MPIO]]," (",Tabla1[[#This Row],[NOMBRE_DEPTO]],")")</f>
        <v>EL ESPINO (BOYACÁ)</v>
      </c>
      <c r="G310" s="19" t="s">
        <v>953</v>
      </c>
    </row>
    <row r="311" spans="1:7" x14ac:dyDescent="0.15">
      <c r="A311" s="19">
        <v>68</v>
      </c>
      <c r="B311" s="14" t="s">
        <v>56</v>
      </c>
      <c r="D311" s="14" t="s">
        <v>954</v>
      </c>
      <c r="E311" s="14" t="s">
        <v>955</v>
      </c>
      <c r="F311" s="15" t="str">
        <f>CONCATENATE(Tabla1[[#This Row],[NOMBRE_MPIO]]," (",Tabla1[[#This Row],[NOMBRE_DEPTO]],")")</f>
        <v>EL GUACAMAYO (SANTANDER)</v>
      </c>
      <c r="G311" s="19" t="s">
        <v>955</v>
      </c>
    </row>
    <row r="312" spans="1:7" x14ac:dyDescent="0.15">
      <c r="A312" s="19">
        <v>13</v>
      </c>
      <c r="B312" s="14" t="s">
        <v>37</v>
      </c>
      <c r="C312" s="14" t="s">
        <v>596</v>
      </c>
      <c r="D312" s="14" t="s">
        <v>956</v>
      </c>
      <c r="E312" s="14" t="s">
        <v>957</v>
      </c>
      <c r="F312" s="15" t="str">
        <f>CONCATENATE(Tabla1[[#This Row],[NOMBRE_MPIO]]," (",Tabla1[[#This Row],[NOMBRE_DEPTO]],")")</f>
        <v>EL GUAMO (BOLIVAR)</v>
      </c>
      <c r="G312" s="19" t="s">
        <v>957</v>
      </c>
    </row>
    <row r="313" spans="1:7" x14ac:dyDescent="0.15">
      <c r="A313" s="19">
        <v>27</v>
      </c>
      <c r="B313" s="14" t="s">
        <v>27</v>
      </c>
      <c r="C313" s="14" t="s">
        <v>125</v>
      </c>
      <c r="D313" s="14" t="s">
        <v>958</v>
      </c>
      <c r="E313" s="14" t="s">
        <v>959</v>
      </c>
      <c r="F313" s="15" t="str">
        <f>CONCATENATE(Tabla1[[#This Row],[NOMBRE_MPIO]]," (",Tabla1[[#This Row],[NOMBRE_DEPTO]],")")</f>
        <v>El Litoral del San Juan (CHOCO)</v>
      </c>
      <c r="G313" s="19" t="s">
        <v>959</v>
      </c>
    </row>
    <row r="314" spans="1:7" x14ac:dyDescent="0.15">
      <c r="A314" s="19">
        <v>44</v>
      </c>
      <c r="B314" s="14" t="s">
        <v>87</v>
      </c>
      <c r="D314" s="14" t="s">
        <v>960</v>
      </c>
      <c r="E314" s="14" t="s">
        <v>961</v>
      </c>
      <c r="F314" s="15" t="str">
        <f>CONCATENATE(Tabla1[[#This Row],[NOMBRE_MPIO]]," (",Tabla1[[#This Row],[NOMBRE_DEPTO]],")")</f>
        <v>EL MOLINO (LA GUAJIRA)</v>
      </c>
      <c r="G314" s="19" t="s">
        <v>961</v>
      </c>
    </row>
    <row r="315" spans="1:7" x14ac:dyDescent="0.15">
      <c r="A315" s="19">
        <v>20</v>
      </c>
      <c r="B315" s="14" t="s">
        <v>51</v>
      </c>
      <c r="C315" s="14" t="s">
        <v>266</v>
      </c>
      <c r="D315" s="14" t="s">
        <v>962</v>
      </c>
      <c r="E315" s="14" t="s">
        <v>963</v>
      </c>
      <c r="F315" s="15" t="str">
        <f>CONCATENATE(Tabla1[[#This Row],[NOMBRE_MPIO]]," (",Tabla1[[#This Row],[NOMBRE_DEPTO]],")")</f>
        <v>EL PASO (CESAR)</v>
      </c>
      <c r="G315" s="19" t="s">
        <v>963</v>
      </c>
    </row>
    <row r="316" spans="1:7" x14ac:dyDescent="0.15">
      <c r="A316" s="19">
        <v>18</v>
      </c>
      <c r="B316" s="14" t="s">
        <v>84</v>
      </c>
      <c r="C316" s="14" t="s">
        <v>84</v>
      </c>
      <c r="D316" s="14" t="s">
        <v>964</v>
      </c>
      <c r="E316" s="14" t="s">
        <v>965</v>
      </c>
      <c r="F316" s="15" t="str">
        <f>CONCATENATE(Tabla1[[#This Row],[NOMBRE_MPIO]]," (",Tabla1[[#This Row],[NOMBRE_DEPTO]],")")</f>
        <v>EL PAUJIL (CAQUETA)</v>
      </c>
      <c r="G316" s="19" t="s">
        <v>965</v>
      </c>
    </row>
    <row r="317" spans="1:7" x14ac:dyDescent="0.15">
      <c r="A317" s="19">
        <v>52</v>
      </c>
      <c r="B317" s="14" t="s">
        <v>80</v>
      </c>
      <c r="D317" s="14" t="s">
        <v>966</v>
      </c>
      <c r="E317" s="14" t="s">
        <v>967</v>
      </c>
      <c r="F317" s="15" t="str">
        <f>CONCATENATE(Tabla1[[#This Row],[NOMBRE_MPIO]]," (",Tabla1[[#This Row],[NOMBRE_DEPTO]],")")</f>
        <v>EL PEÑOL (NARIÑO)</v>
      </c>
      <c r="G317" s="19" t="s">
        <v>967</v>
      </c>
    </row>
    <row r="318" spans="1:7" x14ac:dyDescent="0.15">
      <c r="A318" s="19">
        <v>13</v>
      </c>
      <c r="B318" s="14" t="s">
        <v>37</v>
      </c>
      <c r="C318" s="14" t="s">
        <v>129</v>
      </c>
      <c r="D318" s="14" t="s">
        <v>968</v>
      </c>
      <c r="E318" s="14" t="s">
        <v>969</v>
      </c>
      <c r="F318" s="15" t="str">
        <f>CONCATENATE(Tabla1[[#This Row],[NOMBRE_MPIO]]," (",Tabla1[[#This Row],[NOMBRE_DEPTO]],")")</f>
        <v>EL PEÑON (BOLIVAR)</v>
      </c>
      <c r="G318" s="19" t="s">
        <v>969</v>
      </c>
    </row>
    <row r="319" spans="1:7" x14ac:dyDescent="0.15">
      <c r="A319" s="19">
        <v>25</v>
      </c>
      <c r="B319" s="14" t="s">
        <v>46</v>
      </c>
      <c r="C319" s="14" t="s">
        <v>970</v>
      </c>
      <c r="D319" s="14" t="s">
        <v>971</v>
      </c>
      <c r="E319" s="14" t="s">
        <v>972</v>
      </c>
      <c r="F319" s="15" t="str">
        <f>CONCATENATE(Tabla1[[#This Row],[NOMBRE_MPIO]]," (",Tabla1[[#This Row],[NOMBRE_DEPTO]],")")</f>
        <v>EL PEÑÓN (CUNDINAMARCA)</v>
      </c>
      <c r="G319" s="19" t="s">
        <v>972</v>
      </c>
    </row>
    <row r="320" spans="1:7" x14ac:dyDescent="0.15">
      <c r="A320" s="19">
        <v>68</v>
      </c>
      <c r="B320" s="14" t="s">
        <v>56</v>
      </c>
      <c r="D320" s="14" t="s">
        <v>971</v>
      </c>
      <c r="E320" s="14" t="s">
        <v>973</v>
      </c>
      <c r="F320" s="15" t="str">
        <f>CONCATENATE(Tabla1[[#This Row],[NOMBRE_MPIO]]," (",Tabla1[[#This Row],[NOMBRE_DEPTO]],")")</f>
        <v>EL PEÑÓN (SANTANDER)</v>
      </c>
      <c r="G320" s="19" t="s">
        <v>973</v>
      </c>
    </row>
    <row r="321" spans="1:7" x14ac:dyDescent="0.15">
      <c r="A321" s="19">
        <v>47</v>
      </c>
      <c r="B321" s="14" t="s">
        <v>102</v>
      </c>
      <c r="D321" s="14" t="s">
        <v>974</v>
      </c>
      <c r="E321" s="14" t="s">
        <v>975</v>
      </c>
      <c r="F321" s="15" t="str">
        <f>CONCATENATE(Tabla1[[#This Row],[NOMBRE_MPIO]]," (",Tabla1[[#This Row],[NOMBRE_DEPTO]],")")</f>
        <v>EL PIÑON (MAGDALENA)</v>
      </c>
      <c r="G321" s="19" t="s">
        <v>975</v>
      </c>
    </row>
    <row r="322" spans="1:7" x14ac:dyDescent="0.15">
      <c r="A322" s="19">
        <v>68</v>
      </c>
      <c r="B322" s="14" t="s">
        <v>56</v>
      </c>
      <c r="D322" s="14" t="s">
        <v>976</v>
      </c>
      <c r="E322" s="14" t="s">
        <v>977</v>
      </c>
      <c r="F322" s="15" t="str">
        <f>CONCATENATE(Tabla1[[#This Row],[NOMBRE_MPIO]]," (",Tabla1[[#This Row],[NOMBRE_DEPTO]],")")</f>
        <v>EL PLAYÓN (SANTANDER)</v>
      </c>
      <c r="G322" s="19" t="s">
        <v>977</v>
      </c>
    </row>
    <row r="323" spans="1:7" x14ac:dyDescent="0.15">
      <c r="A323" s="19">
        <v>47</v>
      </c>
      <c r="B323" s="14" t="s">
        <v>102</v>
      </c>
      <c r="D323" s="14" t="s">
        <v>978</v>
      </c>
      <c r="E323" s="14" t="s">
        <v>979</v>
      </c>
      <c r="F323" s="15" t="str">
        <f>CONCATENATE(Tabla1[[#This Row],[NOMBRE_MPIO]]," (",Tabla1[[#This Row],[NOMBRE_DEPTO]],")")</f>
        <v>EL RETEN (MAGDALENA)</v>
      </c>
      <c r="G323" s="19" t="s">
        <v>979</v>
      </c>
    </row>
    <row r="324" spans="1:7" x14ac:dyDescent="0.15">
      <c r="A324" s="19">
        <v>95</v>
      </c>
      <c r="B324" s="14" t="s">
        <v>513</v>
      </c>
      <c r="D324" s="14" t="s">
        <v>980</v>
      </c>
      <c r="E324" s="14" t="s">
        <v>981</v>
      </c>
      <c r="F324" s="15" t="str">
        <f>CONCATENATE(Tabla1[[#This Row],[NOMBRE_MPIO]]," (",Tabla1[[#This Row],[NOMBRE_DEPTO]],")")</f>
        <v>EL RETORNO (GUAVIARE)</v>
      </c>
      <c r="G324" s="19" t="s">
        <v>981</v>
      </c>
    </row>
    <row r="325" spans="1:7" x14ac:dyDescent="0.15">
      <c r="A325" s="19">
        <v>70</v>
      </c>
      <c r="B325" s="14" t="s">
        <v>443</v>
      </c>
      <c r="D325" s="14" t="s">
        <v>982</v>
      </c>
      <c r="E325" s="14" t="s">
        <v>983</v>
      </c>
      <c r="F325" s="15" t="str">
        <f>CONCATENATE(Tabla1[[#This Row],[NOMBRE_MPIO]]," (",Tabla1[[#This Row],[NOMBRE_DEPTO]],")")</f>
        <v>EL ROBLE (SUCRE)</v>
      </c>
      <c r="G325" s="19" t="s">
        <v>983</v>
      </c>
    </row>
    <row r="326" spans="1:7" x14ac:dyDescent="0.15">
      <c r="A326" s="19">
        <v>25</v>
      </c>
      <c r="B326" s="14" t="s">
        <v>46</v>
      </c>
      <c r="D326" s="14" t="s">
        <v>984</v>
      </c>
      <c r="E326" s="14" t="s">
        <v>985</v>
      </c>
      <c r="F326" s="15" t="str">
        <f>CONCATENATE(Tabla1[[#This Row],[NOMBRE_MPIO]]," (",Tabla1[[#This Row],[NOMBRE_DEPTO]],")")</f>
        <v>EL ROSAL (CUNDINAMARCA)</v>
      </c>
      <c r="G326" s="19" t="s">
        <v>985</v>
      </c>
    </row>
    <row r="327" spans="1:7" x14ac:dyDescent="0.15">
      <c r="A327" s="19">
        <v>52</v>
      </c>
      <c r="B327" s="14" t="s">
        <v>80</v>
      </c>
      <c r="D327" s="14" t="s">
        <v>986</v>
      </c>
      <c r="E327" s="14" t="s">
        <v>987</v>
      </c>
      <c r="F327" s="15" t="str">
        <f>CONCATENATE(Tabla1[[#This Row],[NOMBRE_MPIO]]," (",Tabla1[[#This Row],[NOMBRE_DEPTO]],")")</f>
        <v>EL ROSARIO (NARIÑO)</v>
      </c>
      <c r="G327" s="19" t="s">
        <v>987</v>
      </c>
    </row>
    <row r="328" spans="1:7" x14ac:dyDescent="0.15">
      <c r="A328" s="19">
        <v>52</v>
      </c>
      <c r="B328" s="14" t="s">
        <v>80</v>
      </c>
      <c r="D328" s="14" t="s">
        <v>988</v>
      </c>
      <c r="E328" s="14" t="s">
        <v>989</v>
      </c>
      <c r="F328" s="15" t="str">
        <f>CONCATENATE(Tabla1[[#This Row],[NOMBRE_MPIO]]," (",Tabla1[[#This Row],[NOMBRE_DEPTO]],")")</f>
        <v>El Tablon de Gomez (NARIÑO)</v>
      </c>
      <c r="G328" s="19" t="s">
        <v>989</v>
      </c>
    </row>
    <row r="329" spans="1:7" x14ac:dyDescent="0.15">
      <c r="A329" s="19">
        <v>19</v>
      </c>
      <c r="B329" s="14" t="s">
        <v>109</v>
      </c>
      <c r="C329" s="14" t="s">
        <v>42</v>
      </c>
      <c r="D329" s="14" t="s">
        <v>990</v>
      </c>
      <c r="E329" s="14" t="s">
        <v>991</v>
      </c>
      <c r="F329" s="15" t="str">
        <f>CONCATENATE(Tabla1[[#This Row],[NOMBRE_MPIO]]," (",Tabla1[[#This Row],[NOMBRE_DEPTO]],")")</f>
        <v>EL TAMBO (CAUCA)</v>
      </c>
      <c r="G329" s="19" t="s">
        <v>991</v>
      </c>
    </row>
    <row r="330" spans="1:7" x14ac:dyDescent="0.15">
      <c r="A330" s="19">
        <v>52</v>
      </c>
      <c r="B330" s="14" t="s">
        <v>80</v>
      </c>
      <c r="D330" s="14" t="s">
        <v>990</v>
      </c>
      <c r="E330" s="14" t="s">
        <v>992</v>
      </c>
      <c r="F330" s="15" t="str">
        <f>CONCATENATE(Tabla1[[#This Row],[NOMBRE_MPIO]]," (",Tabla1[[#This Row],[NOMBRE_DEPTO]],")")</f>
        <v>EL TAMBO (NARIÑO)</v>
      </c>
      <c r="G330" s="19" t="s">
        <v>992</v>
      </c>
    </row>
    <row r="331" spans="1:7" x14ac:dyDescent="0.15">
      <c r="A331" s="19">
        <v>54</v>
      </c>
      <c r="B331" s="14" t="s">
        <v>14</v>
      </c>
      <c r="D331" s="14" t="s">
        <v>993</v>
      </c>
      <c r="E331" s="14" t="s">
        <v>994</v>
      </c>
      <c r="F331" s="15" t="str">
        <f>CONCATENATE(Tabla1[[#This Row],[NOMBRE_MPIO]]," (",Tabla1[[#This Row],[NOMBRE_DEPTO]],")")</f>
        <v>EL TARRA (NORTE DE SANTANDER)</v>
      </c>
      <c r="G331" s="19" t="s">
        <v>994</v>
      </c>
    </row>
    <row r="332" spans="1:7" x14ac:dyDescent="0.15">
      <c r="A332" s="19">
        <v>54</v>
      </c>
      <c r="B332" s="14" t="s">
        <v>14</v>
      </c>
      <c r="D332" s="14" t="s">
        <v>995</v>
      </c>
      <c r="E332" s="14" t="s">
        <v>996</v>
      </c>
      <c r="F332" s="15" t="str">
        <f>CONCATENATE(Tabla1[[#This Row],[NOMBRE_MPIO]]," (",Tabla1[[#This Row],[NOMBRE_DEPTO]],")")</f>
        <v>EL ZULIA (NORTE DE SANTANDER)</v>
      </c>
      <c r="G332" s="19" t="s">
        <v>996</v>
      </c>
    </row>
    <row r="333" spans="1:7" x14ac:dyDescent="0.15">
      <c r="A333" s="19">
        <v>41</v>
      </c>
      <c r="B333" s="14" t="s">
        <v>32</v>
      </c>
      <c r="D333" s="14" t="s">
        <v>997</v>
      </c>
      <c r="E333" s="14" t="s">
        <v>998</v>
      </c>
      <c r="F333" s="15" t="str">
        <f>CONCATENATE(Tabla1[[#This Row],[NOMBRE_MPIO]]," (",Tabla1[[#This Row],[NOMBRE_DEPTO]],")")</f>
        <v>ELÍAS (HUILA)</v>
      </c>
      <c r="G333" s="19" t="s">
        <v>998</v>
      </c>
    </row>
    <row r="334" spans="1:7" x14ac:dyDescent="0.15">
      <c r="A334" s="19">
        <v>68</v>
      </c>
      <c r="B334" s="14" t="s">
        <v>56</v>
      </c>
      <c r="D334" s="14" t="s">
        <v>999</v>
      </c>
      <c r="E334" s="14" t="s">
        <v>1000</v>
      </c>
      <c r="F334" s="15" t="str">
        <f>CONCATENATE(Tabla1[[#This Row],[NOMBRE_MPIO]]," (",Tabla1[[#This Row],[NOMBRE_DEPTO]],")")</f>
        <v>ENCINO (SANTANDER)</v>
      </c>
      <c r="G334" s="19" t="s">
        <v>1000</v>
      </c>
    </row>
    <row r="335" spans="1:7" x14ac:dyDescent="0.15">
      <c r="A335" s="19">
        <v>68</v>
      </c>
      <c r="B335" s="14" t="s">
        <v>56</v>
      </c>
      <c r="D335" s="14" t="s">
        <v>1001</v>
      </c>
      <c r="E335" s="14" t="s">
        <v>1002</v>
      </c>
      <c r="F335" s="15" t="str">
        <f>CONCATENATE(Tabla1[[#This Row],[NOMBRE_MPIO]]," (",Tabla1[[#This Row],[NOMBRE_DEPTO]],")")</f>
        <v>ENCISO (SANTANDER)</v>
      </c>
      <c r="G335" s="19" t="s">
        <v>1002</v>
      </c>
    </row>
    <row r="336" spans="1:7" x14ac:dyDescent="0.15">
      <c r="A336" s="19">
        <v>5</v>
      </c>
      <c r="B336" s="14" t="s">
        <v>9</v>
      </c>
      <c r="C336" s="14" t="s">
        <v>62</v>
      </c>
      <c r="D336" s="14" t="s">
        <v>1003</v>
      </c>
      <c r="E336" s="14" t="s">
        <v>1004</v>
      </c>
      <c r="F336" s="15" t="str">
        <f>CONCATENATE(Tabla1[[#This Row],[NOMBRE_MPIO]]," (",Tabla1[[#This Row],[NOMBRE_DEPTO]],")")</f>
        <v>ENTRERRIOS (ANTIOQUIA)</v>
      </c>
      <c r="G336" s="19" t="s">
        <v>1004</v>
      </c>
    </row>
    <row r="337" spans="1:7" x14ac:dyDescent="0.15">
      <c r="A337" s="19">
        <v>5</v>
      </c>
      <c r="B337" s="14" t="s">
        <v>9</v>
      </c>
      <c r="C337" s="14" t="s">
        <v>308</v>
      </c>
      <c r="D337" s="14" t="s">
        <v>1005</v>
      </c>
      <c r="E337" s="14" t="s">
        <v>1006</v>
      </c>
      <c r="F337" s="15" t="str">
        <f>CONCATENATE(Tabla1[[#This Row],[NOMBRE_MPIO]]," (",Tabla1[[#This Row],[NOMBRE_DEPTO]],")")</f>
        <v>ENVIGADO (ANTIOQUIA)</v>
      </c>
      <c r="G337" s="19" t="s">
        <v>1006</v>
      </c>
    </row>
    <row r="338" spans="1:7" x14ac:dyDescent="0.15">
      <c r="A338" s="19">
        <v>73</v>
      </c>
      <c r="B338" s="14" t="s">
        <v>117</v>
      </c>
      <c r="D338" s="14" t="s">
        <v>1007</v>
      </c>
      <c r="E338" s="14" t="s">
        <v>1008</v>
      </c>
      <c r="F338" s="15" t="str">
        <f>CONCATENATE(Tabla1[[#This Row],[NOMBRE_MPIO]]," (",Tabla1[[#This Row],[NOMBRE_DEPTO]],")")</f>
        <v>ESPINAL (TOLIMA)</v>
      </c>
      <c r="G338" s="19" t="s">
        <v>1008</v>
      </c>
    </row>
    <row r="339" spans="1:7" x14ac:dyDescent="0.15">
      <c r="A339" s="19">
        <v>25</v>
      </c>
      <c r="B339" s="14" t="s">
        <v>46</v>
      </c>
      <c r="D339" s="14" t="s">
        <v>1009</v>
      </c>
      <c r="E339" s="14" t="s">
        <v>1010</v>
      </c>
      <c r="F339" s="15" t="str">
        <f>CONCATENATE(Tabla1[[#This Row],[NOMBRE_MPIO]]," (",Tabla1[[#This Row],[NOMBRE_DEPTO]],")")</f>
        <v>FACATATIVÁ (CUNDINAMARCA)</v>
      </c>
      <c r="G339" s="19" t="s">
        <v>1010</v>
      </c>
    </row>
    <row r="340" spans="1:7" x14ac:dyDescent="0.15">
      <c r="A340" s="19">
        <v>73</v>
      </c>
      <c r="B340" s="14" t="s">
        <v>117</v>
      </c>
      <c r="D340" s="14" t="s">
        <v>1011</v>
      </c>
      <c r="E340" s="14" t="s">
        <v>1012</v>
      </c>
      <c r="F340" s="15" t="str">
        <f>CONCATENATE(Tabla1[[#This Row],[NOMBRE_MPIO]]," (",Tabla1[[#This Row],[NOMBRE_DEPTO]],")")</f>
        <v>FALAN (TOLIMA)</v>
      </c>
      <c r="G340" s="19" t="s">
        <v>1012</v>
      </c>
    </row>
    <row r="341" spans="1:7" x14ac:dyDescent="0.15">
      <c r="A341" s="19">
        <v>17</v>
      </c>
      <c r="B341" s="14" t="s">
        <v>61</v>
      </c>
      <c r="C341" s="14" t="s">
        <v>1013</v>
      </c>
      <c r="D341" s="14" t="s">
        <v>1014</v>
      </c>
      <c r="E341" s="14" t="s">
        <v>1015</v>
      </c>
      <c r="F341" s="15" t="str">
        <f>CONCATENATE(Tabla1[[#This Row],[NOMBRE_MPIO]]," (",Tabla1[[#This Row],[NOMBRE_DEPTO]],")")</f>
        <v>FILADELFIA (CALDAS)</v>
      </c>
      <c r="G341" s="19" t="s">
        <v>1015</v>
      </c>
    </row>
    <row r="342" spans="1:7" x14ac:dyDescent="0.15">
      <c r="A342" s="19">
        <v>63</v>
      </c>
      <c r="B342" s="14" t="s">
        <v>256</v>
      </c>
      <c r="C342" s="14" t="s">
        <v>1016</v>
      </c>
      <c r="D342" s="14" t="s">
        <v>1017</v>
      </c>
      <c r="E342" s="14" t="s">
        <v>1018</v>
      </c>
      <c r="F342" s="15" t="str">
        <f>CONCATENATE(Tabla1[[#This Row],[NOMBRE_MPIO]]," (",Tabla1[[#This Row],[NOMBRE_DEPTO]],")")</f>
        <v>FILANDIA (QUINDIO)</v>
      </c>
      <c r="G342" s="19" t="s">
        <v>1018</v>
      </c>
    </row>
    <row r="343" spans="1:7" x14ac:dyDescent="0.15">
      <c r="A343" s="19">
        <v>15</v>
      </c>
      <c r="B343" s="14" t="s">
        <v>113</v>
      </c>
      <c r="C343" s="14" t="s">
        <v>199</v>
      </c>
      <c r="D343" s="14" t="s">
        <v>1019</v>
      </c>
      <c r="E343" s="14" t="s">
        <v>1020</v>
      </c>
      <c r="F343" s="15" t="str">
        <f>CONCATENATE(Tabla1[[#This Row],[NOMBRE_MPIO]]," (",Tabla1[[#This Row],[NOMBRE_DEPTO]],")")</f>
        <v>FIRAVITOBA (BOYACÁ)</v>
      </c>
      <c r="G343" s="19" t="s">
        <v>1020</v>
      </c>
    </row>
    <row r="344" spans="1:7" x14ac:dyDescent="0.15">
      <c r="A344" s="19">
        <v>73</v>
      </c>
      <c r="B344" s="14" t="s">
        <v>117</v>
      </c>
      <c r="D344" s="14" t="s">
        <v>1021</v>
      </c>
      <c r="E344" s="14" t="s">
        <v>1022</v>
      </c>
      <c r="F344" s="15" t="str">
        <f>CONCATENATE(Tabla1[[#This Row],[NOMBRE_MPIO]]," (",Tabla1[[#This Row],[NOMBRE_DEPTO]],")")</f>
        <v>FLANDES (TOLIMA)</v>
      </c>
      <c r="G344" s="19" t="s">
        <v>1022</v>
      </c>
    </row>
    <row r="345" spans="1:7" x14ac:dyDescent="0.15">
      <c r="A345" s="19">
        <v>18</v>
      </c>
      <c r="B345" s="14" t="s">
        <v>84</v>
      </c>
      <c r="C345" s="14" t="s">
        <v>84</v>
      </c>
      <c r="D345" s="14" t="s">
        <v>1023</v>
      </c>
      <c r="E345" s="14" t="s">
        <v>1024</v>
      </c>
      <c r="F345" s="15" t="str">
        <f>CONCATENATE(Tabla1[[#This Row],[NOMBRE_MPIO]]," (",Tabla1[[#This Row],[NOMBRE_DEPTO]],")")</f>
        <v>FLORENCIA (CAQUETA)</v>
      </c>
      <c r="G345" s="19" t="s">
        <v>1024</v>
      </c>
    </row>
    <row r="346" spans="1:7" x14ac:dyDescent="0.15">
      <c r="A346" s="19">
        <v>19</v>
      </c>
      <c r="B346" s="14" t="s">
        <v>109</v>
      </c>
      <c r="C346" s="14" t="s">
        <v>52</v>
      </c>
      <c r="D346" s="14" t="s">
        <v>1023</v>
      </c>
      <c r="E346" s="14" t="s">
        <v>1025</v>
      </c>
      <c r="F346" s="15" t="str">
        <f>CONCATENATE(Tabla1[[#This Row],[NOMBRE_MPIO]]," (",Tabla1[[#This Row],[NOMBRE_DEPTO]],")")</f>
        <v>FLORENCIA (CAUCA)</v>
      </c>
      <c r="G346" s="19" t="s">
        <v>1025</v>
      </c>
    </row>
    <row r="347" spans="1:7" x14ac:dyDescent="0.15">
      <c r="A347" s="19">
        <v>15</v>
      </c>
      <c r="B347" s="14" t="s">
        <v>113</v>
      </c>
      <c r="C347" s="14" t="s">
        <v>344</v>
      </c>
      <c r="D347" s="14" t="s">
        <v>1026</v>
      </c>
      <c r="E347" s="14" t="s">
        <v>1027</v>
      </c>
      <c r="F347" s="15" t="str">
        <f>CONCATENATE(Tabla1[[#This Row],[NOMBRE_MPIO]]," (",Tabla1[[#This Row],[NOMBRE_DEPTO]],")")</f>
        <v>FLORESTA (BOYACÁ)</v>
      </c>
      <c r="G347" s="19" t="s">
        <v>1027</v>
      </c>
    </row>
    <row r="348" spans="1:7" x14ac:dyDescent="0.15">
      <c r="A348" s="19">
        <v>68</v>
      </c>
      <c r="B348" s="14" t="s">
        <v>56</v>
      </c>
      <c r="D348" s="14" t="s">
        <v>1028</v>
      </c>
      <c r="E348" s="14" t="s">
        <v>1029</v>
      </c>
      <c r="F348" s="15" t="str">
        <f>CONCATENATE(Tabla1[[#This Row],[NOMBRE_MPIO]]," (",Tabla1[[#This Row],[NOMBRE_DEPTO]],")")</f>
        <v>FLORIÁN (SANTANDER)</v>
      </c>
      <c r="G348" s="19" t="s">
        <v>1029</v>
      </c>
    </row>
    <row r="349" spans="1:7" x14ac:dyDescent="0.15">
      <c r="A349" s="19">
        <v>76</v>
      </c>
      <c r="B349" s="14" t="s">
        <v>92</v>
      </c>
      <c r="D349" s="14" t="s">
        <v>1030</v>
      </c>
      <c r="E349" s="14" t="s">
        <v>1031</v>
      </c>
      <c r="F349" s="15" t="str">
        <f>CONCATENATE(Tabla1[[#This Row],[NOMBRE_MPIO]]," (",Tabla1[[#This Row],[NOMBRE_DEPTO]],")")</f>
        <v>FLORIDA (VALLE DEL CAUCA)</v>
      </c>
      <c r="G349" s="19" t="s">
        <v>1031</v>
      </c>
    </row>
    <row r="350" spans="1:7" x14ac:dyDescent="0.15">
      <c r="A350" s="19">
        <v>68</v>
      </c>
      <c r="B350" s="14" t="s">
        <v>56</v>
      </c>
      <c r="D350" s="14" t="s">
        <v>1032</v>
      </c>
      <c r="E350" s="14" t="s">
        <v>1033</v>
      </c>
      <c r="F350" s="15" t="str">
        <f>CONCATENATE(Tabla1[[#This Row],[NOMBRE_MPIO]]," (",Tabla1[[#This Row],[NOMBRE_DEPTO]],")")</f>
        <v>FLORIDABLANCA (SANTANDER)</v>
      </c>
      <c r="G350" s="19" t="s">
        <v>1033</v>
      </c>
    </row>
    <row r="351" spans="1:7" x14ac:dyDescent="0.15">
      <c r="A351" s="19">
        <v>25</v>
      </c>
      <c r="B351" s="14" t="s">
        <v>46</v>
      </c>
      <c r="D351" s="14" t="s">
        <v>1034</v>
      </c>
      <c r="E351" s="14" t="s">
        <v>1035</v>
      </c>
      <c r="F351" s="15" t="str">
        <f>CONCATENATE(Tabla1[[#This Row],[NOMBRE_MPIO]]," (",Tabla1[[#This Row],[NOMBRE_DEPTO]],")")</f>
        <v>FOMEQUE (CUNDINAMARCA)</v>
      </c>
      <c r="G351" s="19" t="s">
        <v>1035</v>
      </c>
    </row>
    <row r="352" spans="1:7" x14ac:dyDescent="0.15">
      <c r="A352" s="19">
        <v>44</v>
      </c>
      <c r="B352" s="14" t="s">
        <v>87</v>
      </c>
      <c r="D352" s="14" t="s">
        <v>1036</v>
      </c>
      <c r="E352" s="14" t="s">
        <v>1037</v>
      </c>
      <c r="F352" s="15" t="str">
        <f>CONCATENATE(Tabla1[[#This Row],[NOMBRE_MPIO]]," (",Tabla1[[#This Row],[NOMBRE_DEPTO]],")")</f>
        <v>FONSECA (LA GUAJIRA)</v>
      </c>
      <c r="G352" s="19" t="s">
        <v>1037</v>
      </c>
    </row>
    <row r="353" spans="1:7" x14ac:dyDescent="0.15">
      <c r="A353" s="19">
        <v>81</v>
      </c>
      <c r="B353" s="14" t="s">
        <v>213</v>
      </c>
      <c r="C353" s="14" t="s">
        <v>213</v>
      </c>
      <c r="D353" s="14" t="s">
        <v>1038</v>
      </c>
      <c r="E353" s="14" t="s">
        <v>1039</v>
      </c>
      <c r="F353" s="15" t="str">
        <f>CONCATENATE(Tabla1[[#This Row],[NOMBRE_MPIO]]," (",Tabla1[[#This Row],[NOMBRE_DEPTO]],")")</f>
        <v>FORTUL (ARAUCA)</v>
      </c>
      <c r="G353" s="19" t="s">
        <v>1039</v>
      </c>
    </row>
    <row r="354" spans="1:7" x14ac:dyDescent="0.15">
      <c r="A354" s="19">
        <v>25</v>
      </c>
      <c r="B354" s="14" t="s">
        <v>46</v>
      </c>
      <c r="D354" s="14" t="s">
        <v>1040</v>
      </c>
      <c r="E354" s="14" t="s">
        <v>1041</v>
      </c>
      <c r="F354" s="15" t="str">
        <f>CONCATENATE(Tabla1[[#This Row],[NOMBRE_MPIO]]," (",Tabla1[[#This Row],[NOMBRE_DEPTO]],")")</f>
        <v>FOSCA (CUNDINAMARCA)</v>
      </c>
      <c r="G354" s="19" t="s">
        <v>1041</v>
      </c>
    </row>
    <row r="355" spans="1:7" x14ac:dyDescent="0.15">
      <c r="A355" s="19">
        <v>52</v>
      </c>
      <c r="B355" s="14" t="s">
        <v>80</v>
      </c>
      <c r="D355" s="14" t="s">
        <v>1042</v>
      </c>
      <c r="E355" s="14" t="s">
        <v>1043</v>
      </c>
      <c r="F355" s="15" t="str">
        <f>CONCATENATE(Tabla1[[#This Row],[NOMBRE_MPIO]]," (",Tabla1[[#This Row],[NOMBRE_DEPTO]],")")</f>
        <v>FRANCISCO PIZARRO (NARIÑO)</v>
      </c>
      <c r="G355" s="19" t="s">
        <v>1043</v>
      </c>
    </row>
    <row r="356" spans="1:7" x14ac:dyDescent="0.15">
      <c r="A356" s="19">
        <v>5</v>
      </c>
      <c r="B356" s="14" t="s">
        <v>9</v>
      </c>
      <c r="C356" s="14" t="s">
        <v>137</v>
      </c>
      <c r="D356" s="14" t="s">
        <v>1044</v>
      </c>
      <c r="E356" s="14" t="s">
        <v>1045</v>
      </c>
      <c r="F356" s="15" t="str">
        <f>CONCATENATE(Tabla1[[#This Row],[NOMBRE_MPIO]]," (",Tabla1[[#This Row],[NOMBRE_DEPTO]],")")</f>
        <v>FREDONIA (ANTIOQUIA)</v>
      </c>
      <c r="G356" s="19" t="s">
        <v>1045</v>
      </c>
    </row>
    <row r="357" spans="1:7" x14ac:dyDescent="0.15">
      <c r="A357" s="19">
        <v>73</v>
      </c>
      <c r="B357" s="14" t="s">
        <v>117</v>
      </c>
      <c r="D357" s="14" t="s">
        <v>1046</v>
      </c>
      <c r="E357" s="14" t="s">
        <v>1047</v>
      </c>
      <c r="F357" s="15" t="str">
        <f>CONCATENATE(Tabla1[[#This Row],[NOMBRE_MPIO]]," (",Tabla1[[#This Row],[NOMBRE_DEPTO]],")")</f>
        <v>FRESNO (TOLIMA)</v>
      </c>
      <c r="G357" s="19" t="s">
        <v>1047</v>
      </c>
    </row>
    <row r="358" spans="1:7" x14ac:dyDescent="0.15">
      <c r="A358" s="19">
        <v>5</v>
      </c>
      <c r="B358" s="14" t="s">
        <v>9</v>
      </c>
      <c r="C358" s="14" t="s">
        <v>15</v>
      </c>
      <c r="D358" s="14" t="s">
        <v>1048</v>
      </c>
      <c r="E358" s="14" t="s">
        <v>1049</v>
      </c>
      <c r="F358" s="15" t="str">
        <f>CONCATENATE(Tabla1[[#This Row],[NOMBRE_MPIO]]," (",Tabla1[[#This Row],[NOMBRE_DEPTO]],")")</f>
        <v>FRONTINO (ANTIOQUIA)</v>
      </c>
      <c r="G358" s="19" t="s">
        <v>1049</v>
      </c>
    </row>
    <row r="359" spans="1:7" x14ac:dyDescent="0.15">
      <c r="A359" s="19">
        <v>50</v>
      </c>
      <c r="B359" s="14" t="s">
        <v>22</v>
      </c>
      <c r="D359" s="14" t="s">
        <v>1050</v>
      </c>
      <c r="E359" s="14" t="s">
        <v>1051</v>
      </c>
      <c r="F359" s="15" t="str">
        <f>CONCATENATE(Tabla1[[#This Row],[NOMBRE_MPIO]]," (",Tabla1[[#This Row],[NOMBRE_DEPTO]],")")</f>
        <v>FUENTE DE ORO (META)</v>
      </c>
      <c r="G359" s="19" t="s">
        <v>1051</v>
      </c>
    </row>
    <row r="360" spans="1:7" x14ac:dyDescent="0.15">
      <c r="A360" s="19">
        <v>47</v>
      </c>
      <c r="B360" s="14" t="s">
        <v>102</v>
      </c>
      <c r="D360" s="14" t="s">
        <v>1052</v>
      </c>
      <c r="E360" s="14" t="s">
        <v>1053</v>
      </c>
      <c r="F360" s="15" t="str">
        <f>CONCATENATE(Tabla1[[#This Row],[NOMBRE_MPIO]]," (",Tabla1[[#This Row],[NOMBRE_DEPTO]],")")</f>
        <v>FUNDACION (MAGDALENA)</v>
      </c>
      <c r="G360" s="19" t="s">
        <v>1053</v>
      </c>
    </row>
    <row r="361" spans="1:7" x14ac:dyDescent="0.15">
      <c r="A361" s="19">
        <v>52</v>
      </c>
      <c r="B361" s="14" t="s">
        <v>80</v>
      </c>
      <c r="D361" s="14" t="s">
        <v>1054</v>
      </c>
      <c r="E361" s="14" t="s">
        <v>1055</v>
      </c>
      <c r="F361" s="15" t="str">
        <f>CONCATENATE(Tabla1[[#This Row],[NOMBRE_MPIO]]," (",Tabla1[[#This Row],[NOMBRE_DEPTO]],")")</f>
        <v>FUNES (NARIÑO)</v>
      </c>
      <c r="G361" s="19" t="s">
        <v>1055</v>
      </c>
    </row>
    <row r="362" spans="1:7" x14ac:dyDescent="0.15">
      <c r="A362" s="19">
        <v>25</v>
      </c>
      <c r="B362" s="14" t="s">
        <v>46</v>
      </c>
      <c r="D362" s="14" t="s">
        <v>1056</v>
      </c>
      <c r="E362" s="14" t="s">
        <v>1057</v>
      </c>
      <c r="F362" s="15" t="str">
        <f>CONCATENATE(Tabla1[[#This Row],[NOMBRE_MPIO]]," (",Tabla1[[#This Row],[NOMBRE_DEPTO]],")")</f>
        <v>FUNZA (CUNDINAMARCA)</v>
      </c>
      <c r="G362" s="19" t="s">
        <v>1057</v>
      </c>
    </row>
    <row r="363" spans="1:7" x14ac:dyDescent="0.15">
      <c r="A363" s="19">
        <v>25</v>
      </c>
      <c r="B363" s="14" t="s">
        <v>46</v>
      </c>
      <c r="D363" s="14" t="s">
        <v>1058</v>
      </c>
      <c r="E363" s="14" t="s">
        <v>1059</v>
      </c>
      <c r="F363" s="15" t="str">
        <f>CONCATENATE(Tabla1[[#This Row],[NOMBRE_MPIO]]," (",Tabla1[[#This Row],[NOMBRE_DEPTO]],")")</f>
        <v>FÚQUENE (CUNDINAMARCA)</v>
      </c>
      <c r="G363" s="19" t="s">
        <v>1059</v>
      </c>
    </row>
    <row r="364" spans="1:7" x14ac:dyDescent="0.15">
      <c r="A364" s="19">
        <v>25</v>
      </c>
      <c r="B364" s="14" t="s">
        <v>46</v>
      </c>
      <c r="D364" s="14" t="s">
        <v>1060</v>
      </c>
      <c r="E364" s="14" t="s">
        <v>1061</v>
      </c>
      <c r="F364" s="15" t="str">
        <f>CONCATENATE(Tabla1[[#This Row],[NOMBRE_MPIO]]," (",Tabla1[[#This Row],[NOMBRE_DEPTO]],")")</f>
        <v>FUSAGASUGÁ (CUNDINAMARCA)</v>
      </c>
      <c r="G364" s="19" t="s">
        <v>1061</v>
      </c>
    </row>
    <row r="365" spans="1:7" x14ac:dyDescent="0.15">
      <c r="A365" s="19">
        <v>25</v>
      </c>
      <c r="B365" s="14" t="s">
        <v>46</v>
      </c>
      <c r="C365" s="14" t="s">
        <v>1062</v>
      </c>
      <c r="D365" s="14" t="s">
        <v>1063</v>
      </c>
      <c r="E365" s="14" t="s">
        <v>1064</v>
      </c>
      <c r="F365" s="15" t="str">
        <f>CONCATENATE(Tabla1[[#This Row],[NOMBRE_MPIO]]," (",Tabla1[[#This Row],[NOMBRE_DEPTO]],")")</f>
        <v>GACHALA (CUNDINAMARCA)</v>
      </c>
      <c r="G365" s="19" t="s">
        <v>1064</v>
      </c>
    </row>
    <row r="366" spans="1:7" x14ac:dyDescent="0.15">
      <c r="A366" s="19">
        <v>25</v>
      </c>
      <c r="B366" s="14" t="s">
        <v>46</v>
      </c>
      <c r="D366" s="14" t="s">
        <v>1065</v>
      </c>
      <c r="E366" s="14" t="s">
        <v>1066</v>
      </c>
      <c r="F366" s="15" t="str">
        <f>CONCATENATE(Tabla1[[#This Row],[NOMBRE_MPIO]]," (",Tabla1[[#This Row],[NOMBRE_DEPTO]],")")</f>
        <v>GACHANCIPÁ (CUNDINAMARCA)</v>
      </c>
      <c r="G366" s="19" t="s">
        <v>1066</v>
      </c>
    </row>
    <row r="367" spans="1:7" x14ac:dyDescent="0.15">
      <c r="A367" s="19">
        <v>15</v>
      </c>
      <c r="B367" s="14" t="s">
        <v>113</v>
      </c>
      <c r="C367" s="14" t="s">
        <v>232</v>
      </c>
      <c r="D367" s="14" t="s">
        <v>1067</v>
      </c>
      <c r="E367" s="14" t="s">
        <v>1068</v>
      </c>
      <c r="F367" s="15" t="str">
        <f>CONCATENATE(Tabla1[[#This Row],[NOMBRE_MPIO]]," (",Tabla1[[#This Row],[NOMBRE_DEPTO]],")")</f>
        <v>GACHANTIVÁ (BOYACÁ)</v>
      </c>
      <c r="G367" s="19" t="s">
        <v>1068</v>
      </c>
    </row>
    <row r="368" spans="1:7" x14ac:dyDescent="0.15">
      <c r="A368" s="19">
        <v>25</v>
      </c>
      <c r="B368" s="14" t="s">
        <v>46</v>
      </c>
      <c r="D368" s="14" t="s">
        <v>1069</v>
      </c>
      <c r="E368" s="14" t="s">
        <v>1070</v>
      </c>
      <c r="F368" s="15" t="str">
        <f>CONCATENATE(Tabla1[[#This Row],[NOMBRE_MPIO]]," (",Tabla1[[#This Row],[NOMBRE_DEPTO]],")")</f>
        <v>GACHETA (CUNDINAMARCA)</v>
      </c>
      <c r="G368" s="19" t="s">
        <v>1070</v>
      </c>
    </row>
    <row r="369" spans="1:7" x14ac:dyDescent="0.15">
      <c r="A369" s="19">
        <v>68</v>
      </c>
      <c r="B369" s="14" t="s">
        <v>56</v>
      </c>
      <c r="D369" s="14" t="s">
        <v>1071</v>
      </c>
      <c r="E369" s="14" t="s">
        <v>1072</v>
      </c>
      <c r="F369" s="15" t="str">
        <f>CONCATENATE(Tabla1[[#This Row],[NOMBRE_MPIO]]," (",Tabla1[[#This Row],[NOMBRE_DEPTO]],")")</f>
        <v>GALÁN (SANTANDER)</v>
      </c>
      <c r="G369" s="19" t="s">
        <v>1072</v>
      </c>
    </row>
    <row r="370" spans="1:7" x14ac:dyDescent="0.15">
      <c r="A370" s="19">
        <v>8</v>
      </c>
      <c r="B370" s="14" t="s">
        <v>296</v>
      </c>
      <c r="C370" s="14" t="s">
        <v>62</v>
      </c>
      <c r="D370" s="14" t="s">
        <v>1073</v>
      </c>
      <c r="E370" s="14" t="s">
        <v>1074</v>
      </c>
      <c r="F370" s="15" t="str">
        <f>CONCATENATE(Tabla1[[#This Row],[NOMBRE_MPIO]]," (",Tabla1[[#This Row],[NOMBRE_DEPTO]],")")</f>
        <v>GALAPA (ATLÁNTICO)</v>
      </c>
      <c r="G370" s="19" t="s">
        <v>1074</v>
      </c>
    </row>
    <row r="371" spans="1:7" x14ac:dyDescent="0.15">
      <c r="A371" s="19">
        <v>70</v>
      </c>
      <c r="B371" s="14" t="s">
        <v>443</v>
      </c>
      <c r="D371" s="14" t="s">
        <v>1075</v>
      </c>
      <c r="E371" s="14" t="s">
        <v>1076</v>
      </c>
      <c r="F371" s="15" t="str">
        <f>CONCATENATE(Tabla1[[#This Row],[NOMBRE_MPIO]]," (",Tabla1[[#This Row],[NOMBRE_DEPTO]],")")</f>
        <v>GALERAS (SUCRE)</v>
      </c>
      <c r="G371" s="19" t="s">
        <v>1076</v>
      </c>
    </row>
    <row r="372" spans="1:7" x14ac:dyDescent="0.15">
      <c r="A372" s="19">
        <v>25</v>
      </c>
      <c r="B372" s="14" t="s">
        <v>46</v>
      </c>
      <c r="D372" s="14" t="s">
        <v>1077</v>
      </c>
      <c r="E372" s="14" t="s">
        <v>1078</v>
      </c>
      <c r="F372" s="15" t="str">
        <f>CONCATENATE(Tabla1[[#This Row],[NOMBRE_MPIO]]," (",Tabla1[[#This Row],[NOMBRE_DEPTO]],")")</f>
        <v>GAMA (CUNDINAMARCA)</v>
      </c>
      <c r="G372" s="19" t="s">
        <v>1078</v>
      </c>
    </row>
    <row r="373" spans="1:7" x14ac:dyDescent="0.15">
      <c r="A373" s="19">
        <v>20</v>
      </c>
      <c r="B373" s="14" t="s">
        <v>51</v>
      </c>
      <c r="C373" s="14" t="s">
        <v>52</v>
      </c>
      <c r="D373" s="14" t="s">
        <v>1079</v>
      </c>
      <c r="E373" s="14" t="s">
        <v>1080</v>
      </c>
      <c r="F373" s="15" t="str">
        <f>CONCATENATE(Tabla1[[#This Row],[NOMBRE_MPIO]]," (",Tabla1[[#This Row],[NOMBRE_DEPTO]],")")</f>
        <v>GAMARRA (CESAR)</v>
      </c>
      <c r="G373" s="19" t="s">
        <v>1080</v>
      </c>
    </row>
    <row r="374" spans="1:7" x14ac:dyDescent="0.15">
      <c r="A374" s="19">
        <v>68</v>
      </c>
      <c r="B374" s="14" t="s">
        <v>56</v>
      </c>
      <c r="D374" s="14" t="s">
        <v>1081</v>
      </c>
      <c r="E374" s="14" t="s">
        <v>1082</v>
      </c>
      <c r="F374" s="15" t="str">
        <f>CONCATENATE(Tabla1[[#This Row],[NOMBRE_MPIO]]," (",Tabla1[[#This Row],[NOMBRE_DEPTO]],")")</f>
        <v>GAMBITA (SANTANDER)</v>
      </c>
      <c r="G374" s="19" t="s">
        <v>1082</v>
      </c>
    </row>
    <row r="375" spans="1:7" x14ac:dyDescent="0.15">
      <c r="A375" s="19">
        <v>15</v>
      </c>
      <c r="B375" s="14" t="s">
        <v>113</v>
      </c>
      <c r="C375" s="14" t="s">
        <v>199</v>
      </c>
      <c r="D375" s="14" t="s">
        <v>1083</v>
      </c>
      <c r="E375" s="14" t="s">
        <v>1084</v>
      </c>
      <c r="F375" s="15" t="str">
        <f>CONCATENATE(Tabla1[[#This Row],[NOMBRE_MPIO]]," (",Tabla1[[#This Row],[NOMBRE_DEPTO]],")")</f>
        <v>GAMEZA (BOYACÁ)</v>
      </c>
      <c r="G375" s="19" t="s">
        <v>1084</v>
      </c>
    </row>
    <row r="376" spans="1:7" x14ac:dyDescent="0.15">
      <c r="A376" s="19">
        <v>15</v>
      </c>
      <c r="B376" s="14" t="s">
        <v>113</v>
      </c>
      <c r="C376" s="14" t="s">
        <v>700</v>
      </c>
      <c r="D376" s="14" t="s">
        <v>1085</v>
      </c>
      <c r="E376" s="14" t="s">
        <v>1086</v>
      </c>
      <c r="F376" s="15" t="str">
        <f>CONCATENATE(Tabla1[[#This Row],[NOMBRE_MPIO]]," (",Tabla1[[#This Row],[NOMBRE_DEPTO]],")")</f>
        <v>GARAGOA (BOYACÁ)</v>
      </c>
      <c r="G376" s="19" t="s">
        <v>1086</v>
      </c>
    </row>
    <row r="377" spans="1:7" x14ac:dyDescent="0.15">
      <c r="A377" s="19">
        <v>41</v>
      </c>
      <c r="B377" s="14" t="s">
        <v>32</v>
      </c>
      <c r="D377" s="14" t="s">
        <v>1087</v>
      </c>
      <c r="E377" s="14" t="s">
        <v>1088</v>
      </c>
      <c r="F377" s="15" t="str">
        <f>CONCATENATE(Tabla1[[#This Row],[NOMBRE_MPIO]]," (",Tabla1[[#This Row],[NOMBRE_DEPTO]],")")</f>
        <v>GARZÓN (HUILA)</v>
      </c>
      <c r="G377" s="19" t="s">
        <v>1088</v>
      </c>
    </row>
    <row r="378" spans="1:7" x14ac:dyDescent="0.15">
      <c r="A378" s="19">
        <v>63</v>
      </c>
      <c r="B378" s="14" t="s">
        <v>256</v>
      </c>
      <c r="D378" s="14" t="s">
        <v>1089</v>
      </c>
      <c r="E378" s="14" t="s">
        <v>1090</v>
      </c>
      <c r="F378" s="15" t="str">
        <f>CONCATENATE(Tabla1[[#This Row],[NOMBRE_MPIO]]," (",Tabla1[[#This Row],[NOMBRE_DEPTO]],")")</f>
        <v>GeNOVA (QUINDIO)</v>
      </c>
      <c r="G378" s="19" t="s">
        <v>1090</v>
      </c>
    </row>
    <row r="379" spans="1:7" x14ac:dyDescent="0.15">
      <c r="A379" s="19">
        <v>41</v>
      </c>
      <c r="B379" s="14" t="s">
        <v>32</v>
      </c>
      <c r="D379" s="14" t="s">
        <v>1091</v>
      </c>
      <c r="E379" s="14" t="s">
        <v>1092</v>
      </c>
      <c r="F379" s="15" t="str">
        <f>CONCATENATE(Tabla1[[#This Row],[NOMBRE_MPIO]]," (",Tabla1[[#This Row],[NOMBRE_DEPTO]],")")</f>
        <v>GIGANTE (HUILA)</v>
      </c>
      <c r="G379" s="19" t="s">
        <v>1092</v>
      </c>
    </row>
    <row r="380" spans="1:7" x14ac:dyDescent="0.15">
      <c r="A380" s="19">
        <v>76</v>
      </c>
      <c r="B380" s="14" t="s">
        <v>92</v>
      </c>
      <c r="D380" s="14" t="s">
        <v>1093</v>
      </c>
      <c r="E380" s="14" t="s">
        <v>1094</v>
      </c>
      <c r="F380" s="15" t="str">
        <f>CONCATENATE(Tabla1[[#This Row],[NOMBRE_MPIO]]," (",Tabla1[[#This Row],[NOMBRE_DEPTO]],")")</f>
        <v>GINEBRA (VALLE DEL CAUCA)</v>
      </c>
      <c r="G380" s="19" t="s">
        <v>1094</v>
      </c>
    </row>
    <row r="381" spans="1:7" x14ac:dyDescent="0.15">
      <c r="A381" s="19">
        <v>5</v>
      </c>
      <c r="B381" s="14" t="s">
        <v>9</v>
      </c>
      <c r="C381" s="14" t="s">
        <v>15</v>
      </c>
      <c r="D381" s="14" t="s">
        <v>1095</v>
      </c>
      <c r="E381" s="14" t="s">
        <v>1096</v>
      </c>
      <c r="F381" s="15" t="str">
        <f>CONCATENATE(Tabla1[[#This Row],[NOMBRE_MPIO]]," (",Tabla1[[#This Row],[NOMBRE_DEPTO]],")")</f>
        <v>GIRALDO (ANTIOQUIA)</v>
      </c>
      <c r="G381" s="19" t="s">
        <v>1096</v>
      </c>
    </row>
    <row r="382" spans="1:7" x14ac:dyDescent="0.15">
      <c r="A382" s="19">
        <v>25</v>
      </c>
      <c r="B382" s="14" t="s">
        <v>46</v>
      </c>
      <c r="D382" s="14" t="s">
        <v>1097</v>
      </c>
      <c r="E382" s="14" t="s">
        <v>1098</v>
      </c>
      <c r="F382" s="15" t="str">
        <f>CONCATENATE(Tabla1[[#This Row],[NOMBRE_MPIO]]," (",Tabla1[[#This Row],[NOMBRE_DEPTO]],")")</f>
        <v>GIRARDOT (CUNDINAMARCA)</v>
      </c>
      <c r="G382" s="19" t="s">
        <v>1098</v>
      </c>
    </row>
    <row r="383" spans="1:7" x14ac:dyDescent="0.15">
      <c r="A383" s="19">
        <v>5</v>
      </c>
      <c r="B383" s="14" t="s">
        <v>9</v>
      </c>
      <c r="C383" s="14" t="s">
        <v>308</v>
      </c>
      <c r="D383" s="14" t="s">
        <v>1099</v>
      </c>
      <c r="E383" s="14" t="s">
        <v>1100</v>
      </c>
      <c r="F383" s="15" t="str">
        <f>CONCATENATE(Tabla1[[#This Row],[NOMBRE_MPIO]]," (",Tabla1[[#This Row],[NOMBRE_DEPTO]],")")</f>
        <v>GIRARDOTA (ANTIOQUIA)</v>
      </c>
      <c r="G383" s="19" t="s">
        <v>1100</v>
      </c>
    </row>
    <row r="384" spans="1:7" x14ac:dyDescent="0.15">
      <c r="A384" s="19">
        <v>68</v>
      </c>
      <c r="B384" s="14" t="s">
        <v>56</v>
      </c>
      <c r="D384" s="14" t="s">
        <v>1101</v>
      </c>
      <c r="E384" s="14" t="s">
        <v>1102</v>
      </c>
      <c r="F384" s="15" t="str">
        <f>CONCATENATE(Tabla1[[#This Row],[NOMBRE_MPIO]]," (",Tabla1[[#This Row],[NOMBRE_DEPTO]],")")</f>
        <v>GIRÓN (SANTANDER)</v>
      </c>
      <c r="G384" s="19" t="s">
        <v>1102</v>
      </c>
    </row>
    <row r="385" spans="1:7" x14ac:dyDescent="0.15">
      <c r="A385" s="19">
        <v>5</v>
      </c>
      <c r="B385" s="14" t="s">
        <v>9</v>
      </c>
      <c r="C385" s="14" t="s">
        <v>62</v>
      </c>
      <c r="D385" s="14" t="s">
        <v>1103</v>
      </c>
      <c r="E385" s="14" t="s">
        <v>1104</v>
      </c>
      <c r="F385" s="15" t="str">
        <f>CONCATENATE(Tabla1[[#This Row],[NOMBRE_MPIO]]," (",Tabla1[[#This Row],[NOMBRE_DEPTO]],")")</f>
        <v>GÓMEZ PLATA (ANTIOQUIA)</v>
      </c>
      <c r="G385" s="19" t="s">
        <v>1104</v>
      </c>
    </row>
    <row r="386" spans="1:7" x14ac:dyDescent="0.15">
      <c r="A386" s="19">
        <v>20</v>
      </c>
      <c r="B386" s="14" t="s">
        <v>51</v>
      </c>
      <c r="C386" s="14" t="s">
        <v>52</v>
      </c>
      <c r="D386" s="14" t="s">
        <v>1105</v>
      </c>
      <c r="E386" s="14" t="s">
        <v>1106</v>
      </c>
      <c r="F386" s="15" t="str">
        <f>CONCATENATE(Tabla1[[#This Row],[NOMBRE_MPIO]]," (",Tabla1[[#This Row],[NOMBRE_DEPTO]],")")</f>
        <v>GONZÁLEZ (CESAR)</v>
      </c>
      <c r="G386" s="19" t="s">
        <v>1106</v>
      </c>
    </row>
    <row r="387" spans="1:7" x14ac:dyDescent="0.15">
      <c r="A387" s="19">
        <v>54</v>
      </c>
      <c r="B387" s="14" t="s">
        <v>14</v>
      </c>
      <c r="D387" s="14" t="s">
        <v>1107</v>
      </c>
      <c r="E387" s="14" t="s">
        <v>1108</v>
      </c>
      <c r="F387" s="15" t="str">
        <f>CONCATENATE(Tabla1[[#This Row],[NOMBRE_MPIO]]," (",Tabla1[[#This Row],[NOMBRE_DEPTO]],")")</f>
        <v>GRAMALOTE (NORTE DE SANTANDER)</v>
      </c>
      <c r="G387" s="19" t="s">
        <v>1108</v>
      </c>
    </row>
    <row r="388" spans="1:7" x14ac:dyDescent="0.15">
      <c r="A388" s="19">
        <v>5</v>
      </c>
      <c r="B388" s="14" t="s">
        <v>9</v>
      </c>
      <c r="C388" s="14" t="s">
        <v>10</v>
      </c>
      <c r="D388" s="14" t="s">
        <v>295</v>
      </c>
      <c r="E388" s="14" t="s">
        <v>1109</v>
      </c>
      <c r="F388" s="15" t="str">
        <f>CONCATENATE(Tabla1[[#This Row],[NOMBRE_MPIO]]," (",Tabla1[[#This Row],[NOMBRE_DEPTO]],")")</f>
        <v>GRANADA (ANTIOQUIA)</v>
      </c>
      <c r="G388" s="19" t="s">
        <v>1109</v>
      </c>
    </row>
    <row r="389" spans="1:7" x14ac:dyDescent="0.15">
      <c r="A389" s="19">
        <v>25</v>
      </c>
      <c r="B389" s="14" t="s">
        <v>46</v>
      </c>
      <c r="D389" s="14" t="s">
        <v>295</v>
      </c>
      <c r="E389" s="14" t="s">
        <v>1110</v>
      </c>
      <c r="F389" s="15" t="str">
        <f>CONCATENATE(Tabla1[[#This Row],[NOMBRE_MPIO]]," (",Tabla1[[#This Row],[NOMBRE_DEPTO]],")")</f>
        <v>GRANADA (CUNDINAMARCA)</v>
      </c>
      <c r="G389" s="19" t="s">
        <v>1110</v>
      </c>
    </row>
    <row r="390" spans="1:7" x14ac:dyDescent="0.15">
      <c r="A390" s="19">
        <v>50</v>
      </c>
      <c r="B390" s="14" t="s">
        <v>22</v>
      </c>
      <c r="D390" s="14" t="s">
        <v>295</v>
      </c>
      <c r="E390" s="14" t="s">
        <v>1111</v>
      </c>
      <c r="F390" s="15" t="str">
        <f>CONCATENATE(Tabla1[[#This Row],[NOMBRE_MPIO]]," (",Tabla1[[#This Row],[NOMBRE_DEPTO]],")")</f>
        <v>GRANADA (META)</v>
      </c>
      <c r="G390" s="19" t="s">
        <v>1111</v>
      </c>
    </row>
    <row r="391" spans="1:7" x14ac:dyDescent="0.15">
      <c r="A391" s="19">
        <v>68</v>
      </c>
      <c r="B391" s="14" t="s">
        <v>56</v>
      </c>
      <c r="D391" s="14" t="s">
        <v>1112</v>
      </c>
      <c r="E391" s="14" t="s">
        <v>1113</v>
      </c>
      <c r="F391" s="15" t="str">
        <f>CONCATENATE(Tabla1[[#This Row],[NOMBRE_MPIO]]," (",Tabla1[[#This Row],[NOMBRE_DEPTO]],")")</f>
        <v>GUACA (SANTANDER)</v>
      </c>
      <c r="G391" s="19" t="s">
        <v>1113</v>
      </c>
    </row>
    <row r="392" spans="1:7" x14ac:dyDescent="0.15">
      <c r="A392" s="19">
        <v>15</v>
      </c>
      <c r="B392" s="14" t="s">
        <v>113</v>
      </c>
      <c r="C392" s="14" t="s">
        <v>725</v>
      </c>
      <c r="D392" s="14" t="s">
        <v>1114</v>
      </c>
      <c r="E392" s="14" t="s">
        <v>1115</v>
      </c>
      <c r="F392" s="15" t="str">
        <f>CONCATENATE(Tabla1[[#This Row],[NOMBRE_MPIO]]," (",Tabla1[[#This Row],[NOMBRE_DEPTO]],")")</f>
        <v>GUACAMAYAS (BOYACÁ)</v>
      </c>
      <c r="G392" s="19" t="s">
        <v>1115</v>
      </c>
    </row>
    <row r="393" spans="1:7" x14ac:dyDescent="0.15">
      <c r="A393" s="19">
        <v>76</v>
      </c>
      <c r="B393" s="14" t="s">
        <v>92</v>
      </c>
      <c r="D393" s="14" t="s">
        <v>1116</v>
      </c>
      <c r="E393" s="14" t="s">
        <v>1117</v>
      </c>
      <c r="F393" s="15" t="str">
        <f>CONCATENATE(Tabla1[[#This Row],[NOMBRE_MPIO]]," (",Tabla1[[#This Row],[NOMBRE_DEPTO]],")")</f>
        <v>GUACARÍ (VALLE DEL CAUCA)</v>
      </c>
      <c r="G393" s="19" t="s">
        <v>1117</v>
      </c>
    </row>
    <row r="394" spans="1:7" x14ac:dyDescent="0.15">
      <c r="A394" s="19">
        <v>25</v>
      </c>
      <c r="B394" s="14" t="s">
        <v>46</v>
      </c>
      <c r="D394" s="14" t="s">
        <v>1118</v>
      </c>
      <c r="E394" s="14" t="s">
        <v>1119</v>
      </c>
      <c r="F394" s="15" t="str">
        <f>CONCATENATE(Tabla1[[#This Row],[NOMBRE_MPIO]]," (",Tabla1[[#This Row],[NOMBRE_DEPTO]],")")</f>
        <v>GUACHETÁ (CUNDINAMARCA)</v>
      </c>
      <c r="G394" s="19" t="s">
        <v>1119</v>
      </c>
    </row>
    <row r="395" spans="1:7" x14ac:dyDescent="0.15">
      <c r="A395" s="19">
        <v>52</v>
      </c>
      <c r="B395" s="14" t="s">
        <v>80</v>
      </c>
      <c r="D395" s="14" t="s">
        <v>1120</v>
      </c>
      <c r="E395" s="14" t="s">
        <v>1121</v>
      </c>
      <c r="F395" s="15" t="str">
        <f>CONCATENATE(Tabla1[[#This Row],[NOMBRE_MPIO]]," (",Tabla1[[#This Row],[NOMBRE_DEPTO]],")")</f>
        <v>GUACHUCAL (NARIÑO)</v>
      </c>
      <c r="G395" s="19" t="s">
        <v>1121</v>
      </c>
    </row>
    <row r="396" spans="1:7" x14ac:dyDescent="0.15">
      <c r="A396" s="19">
        <v>5</v>
      </c>
      <c r="B396" s="14" t="s">
        <v>9</v>
      </c>
      <c r="C396" s="14" t="s">
        <v>62</v>
      </c>
      <c r="D396" s="14" t="s">
        <v>307</v>
      </c>
      <c r="E396" s="14" t="s">
        <v>1122</v>
      </c>
      <c r="F396" s="15" t="str">
        <f>CONCATENATE(Tabla1[[#This Row],[NOMBRE_MPIO]]," (",Tabla1[[#This Row],[NOMBRE_DEPTO]],")")</f>
        <v>GUADALUPE (ANTIOQUIA)</v>
      </c>
      <c r="G396" s="19" t="s">
        <v>1122</v>
      </c>
    </row>
    <row r="397" spans="1:7" x14ac:dyDescent="0.15">
      <c r="A397" s="19">
        <v>41</v>
      </c>
      <c r="B397" s="14" t="s">
        <v>32</v>
      </c>
      <c r="D397" s="14" t="s">
        <v>307</v>
      </c>
      <c r="E397" s="14" t="s">
        <v>1123</v>
      </c>
      <c r="F397" s="15" t="str">
        <f>CONCATENATE(Tabla1[[#This Row],[NOMBRE_MPIO]]," (",Tabla1[[#This Row],[NOMBRE_DEPTO]],")")</f>
        <v>GUADALUPE (HUILA)</v>
      </c>
      <c r="G397" s="19" t="s">
        <v>1123</v>
      </c>
    </row>
    <row r="398" spans="1:7" x14ac:dyDescent="0.15">
      <c r="A398" s="19">
        <v>68</v>
      </c>
      <c r="B398" s="14" t="s">
        <v>56</v>
      </c>
      <c r="D398" s="14" t="s">
        <v>307</v>
      </c>
      <c r="E398" s="14" t="s">
        <v>1124</v>
      </c>
      <c r="F398" s="15" t="str">
        <f>CONCATENATE(Tabla1[[#This Row],[NOMBRE_MPIO]]," (",Tabla1[[#This Row],[NOMBRE_DEPTO]],")")</f>
        <v>GUADALUPE (SANTANDER)</v>
      </c>
      <c r="G398" s="19" t="s">
        <v>1124</v>
      </c>
    </row>
    <row r="399" spans="1:7" x14ac:dyDescent="0.15">
      <c r="A399" s="19">
        <v>25</v>
      </c>
      <c r="B399" s="14" t="s">
        <v>46</v>
      </c>
      <c r="D399" s="14" t="s">
        <v>1125</v>
      </c>
      <c r="E399" s="14" t="s">
        <v>1126</v>
      </c>
      <c r="F399" s="15" t="str">
        <f>CONCATENATE(Tabla1[[#This Row],[NOMBRE_MPIO]]," (",Tabla1[[#This Row],[NOMBRE_DEPTO]],")")</f>
        <v>GUADUAS (CUNDINAMARCA)</v>
      </c>
      <c r="G399" s="19" t="s">
        <v>1126</v>
      </c>
    </row>
    <row r="400" spans="1:7" x14ac:dyDescent="0.15">
      <c r="A400" s="19">
        <v>52</v>
      </c>
      <c r="B400" s="14" t="s">
        <v>80</v>
      </c>
      <c r="D400" s="14" t="s">
        <v>1127</v>
      </c>
      <c r="E400" s="14" t="s">
        <v>1128</v>
      </c>
      <c r="F400" s="15" t="str">
        <f>CONCATENATE(Tabla1[[#This Row],[NOMBRE_MPIO]]," (",Tabla1[[#This Row],[NOMBRE_DEPTO]],")")</f>
        <v>GUAITARILLA (NARIÑO)</v>
      </c>
      <c r="G400" s="19" t="s">
        <v>1128</v>
      </c>
    </row>
    <row r="401" spans="1:7" x14ac:dyDescent="0.15">
      <c r="A401" s="19">
        <v>52</v>
      </c>
      <c r="B401" s="14" t="s">
        <v>80</v>
      </c>
      <c r="D401" s="14" t="s">
        <v>1129</v>
      </c>
      <c r="E401" s="14" t="s">
        <v>1130</v>
      </c>
      <c r="F401" s="15" t="str">
        <f>CONCATENATE(Tabla1[[#This Row],[NOMBRE_MPIO]]," (",Tabla1[[#This Row],[NOMBRE_DEPTO]],")")</f>
        <v>GUALMATAN (NARIÑO)</v>
      </c>
      <c r="G401" s="19" t="s">
        <v>1130</v>
      </c>
    </row>
    <row r="402" spans="1:7" x14ac:dyDescent="0.15">
      <c r="A402" s="19">
        <v>47</v>
      </c>
      <c r="B402" s="14" t="s">
        <v>102</v>
      </c>
      <c r="D402" s="14" t="s">
        <v>1131</v>
      </c>
      <c r="E402" s="14" t="s">
        <v>1132</v>
      </c>
      <c r="F402" s="15" t="str">
        <f>CONCATENATE(Tabla1[[#This Row],[NOMBRE_MPIO]]," (",Tabla1[[#This Row],[NOMBRE_DEPTO]],")")</f>
        <v>GUAMAL (MAGDALENA)</v>
      </c>
      <c r="G402" s="19" t="s">
        <v>1132</v>
      </c>
    </row>
    <row r="403" spans="1:7" x14ac:dyDescent="0.15">
      <c r="A403" s="19">
        <v>50</v>
      </c>
      <c r="B403" s="14" t="s">
        <v>22</v>
      </c>
      <c r="D403" s="14" t="s">
        <v>1131</v>
      </c>
      <c r="E403" s="14" t="s">
        <v>1133</v>
      </c>
      <c r="F403" s="15" t="str">
        <f>CONCATENATE(Tabla1[[#This Row],[NOMBRE_MPIO]]," (",Tabla1[[#This Row],[NOMBRE_DEPTO]],")")</f>
        <v>GUAMAL (META)</v>
      </c>
      <c r="G403" s="19" t="s">
        <v>1133</v>
      </c>
    </row>
    <row r="404" spans="1:7" x14ac:dyDescent="0.15">
      <c r="A404" s="19">
        <v>73</v>
      </c>
      <c r="B404" s="14" t="s">
        <v>117</v>
      </c>
      <c r="D404" s="14" t="s">
        <v>1134</v>
      </c>
      <c r="E404" s="14" t="s">
        <v>1135</v>
      </c>
      <c r="F404" s="15" t="str">
        <f>CONCATENATE(Tabla1[[#This Row],[NOMBRE_MPIO]]," (",Tabla1[[#This Row],[NOMBRE_DEPTO]],")")</f>
        <v>GUAMO (TOLIMA)</v>
      </c>
      <c r="G404" s="19" t="s">
        <v>1135</v>
      </c>
    </row>
    <row r="405" spans="1:7" x14ac:dyDescent="0.15">
      <c r="A405" s="19">
        <v>19</v>
      </c>
      <c r="B405" s="14" t="s">
        <v>109</v>
      </c>
      <c r="C405" s="14" t="s">
        <v>15</v>
      </c>
      <c r="D405" s="14" t="s">
        <v>1136</v>
      </c>
      <c r="E405" s="14" t="s">
        <v>1137</v>
      </c>
      <c r="F405" s="15" t="str">
        <f>CONCATENATE(Tabla1[[#This Row],[NOMBRE_MPIO]]," (",Tabla1[[#This Row],[NOMBRE_DEPTO]],")")</f>
        <v>GUAPI (CAUCA)</v>
      </c>
      <c r="G405" s="19" t="s">
        <v>1137</v>
      </c>
    </row>
    <row r="406" spans="1:7" x14ac:dyDescent="0.15">
      <c r="A406" s="19">
        <v>68</v>
      </c>
      <c r="B406" s="14" t="s">
        <v>56</v>
      </c>
      <c r="D406" s="14" t="s">
        <v>1138</v>
      </c>
      <c r="E406" s="14" t="s">
        <v>1139</v>
      </c>
      <c r="F406" s="15" t="str">
        <f>CONCATENATE(Tabla1[[#This Row],[NOMBRE_MPIO]]," (",Tabla1[[#This Row],[NOMBRE_DEPTO]],")")</f>
        <v>GUAPOTÁ (SANTANDER)</v>
      </c>
      <c r="G406" s="19" t="s">
        <v>1139</v>
      </c>
    </row>
    <row r="407" spans="1:7" x14ac:dyDescent="0.15">
      <c r="A407" s="19">
        <v>70</v>
      </c>
      <c r="B407" s="14" t="s">
        <v>443</v>
      </c>
      <c r="C407" s="14" t="s">
        <v>1140</v>
      </c>
      <c r="D407" s="14" t="s">
        <v>1141</v>
      </c>
      <c r="E407" s="14" t="s">
        <v>1142</v>
      </c>
      <c r="F407" s="15" t="str">
        <f>CONCATENATE(Tabla1[[#This Row],[NOMBRE_MPIO]]," (",Tabla1[[#This Row],[NOMBRE_DEPTO]],")")</f>
        <v>GUARANDA (SUCRE)</v>
      </c>
      <c r="G407" s="19" t="s">
        <v>1142</v>
      </c>
    </row>
    <row r="408" spans="1:7" x14ac:dyDescent="0.15">
      <c r="A408" s="19">
        <v>5</v>
      </c>
      <c r="B408" s="14" t="s">
        <v>9</v>
      </c>
      <c r="C408" s="14" t="s">
        <v>10</v>
      </c>
      <c r="D408" s="14" t="s">
        <v>1143</v>
      </c>
      <c r="E408" s="14" t="s">
        <v>1144</v>
      </c>
      <c r="F408" s="15" t="str">
        <f>CONCATENATE(Tabla1[[#This Row],[NOMBRE_MPIO]]," (",Tabla1[[#This Row],[NOMBRE_DEPTO]],")")</f>
        <v>GUARNE (ANTIOQUIA)</v>
      </c>
      <c r="G408" s="19" t="s">
        <v>1144</v>
      </c>
    </row>
    <row r="409" spans="1:7" x14ac:dyDescent="0.15">
      <c r="A409" s="19">
        <v>25</v>
      </c>
      <c r="B409" s="14" t="s">
        <v>46</v>
      </c>
      <c r="D409" s="14" t="s">
        <v>1145</v>
      </c>
      <c r="E409" s="14" t="s">
        <v>1146</v>
      </c>
      <c r="F409" s="15" t="str">
        <f>CONCATENATE(Tabla1[[#This Row],[NOMBRE_MPIO]]," (",Tabla1[[#This Row],[NOMBRE_DEPTO]],")")</f>
        <v>GUASCA (CUNDINAMARCA)</v>
      </c>
      <c r="G409" s="19" t="s">
        <v>1146</v>
      </c>
    </row>
    <row r="410" spans="1:7" x14ac:dyDescent="0.15">
      <c r="A410" s="19">
        <v>5</v>
      </c>
      <c r="B410" s="14" t="s">
        <v>9</v>
      </c>
      <c r="C410" s="14" t="s">
        <v>10</v>
      </c>
      <c r="D410" s="14" t="s">
        <v>1147</v>
      </c>
      <c r="E410" s="14" t="s">
        <v>1148</v>
      </c>
      <c r="F410" s="15" t="str">
        <f>CONCATENATE(Tabla1[[#This Row],[NOMBRE_MPIO]]," (",Tabla1[[#This Row],[NOMBRE_DEPTO]],")")</f>
        <v>GUATAPE (ANTIOQUIA)</v>
      </c>
      <c r="G410" s="19" t="s">
        <v>1148</v>
      </c>
    </row>
    <row r="411" spans="1:7" x14ac:dyDescent="0.15">
      <c r="A411" s="19">
        <v>25</v>
      </c>
      <c r="B411" s="14" t="s">
        <v>46</v>
      </c>
      <c r="D411" s="14" t="s">
        <v>1149</v>
      </c>
      <c r="E411" s="14" t="s">
        <v>1150</v>
      </c>
      <c r="F411" s="15" t="str">
        <f>CONCATENATE(Tabla1[[#This Row],[NOMBRE_MPIO]]," (",Tabla1[[#This Row],[NOMBRE_DEPTO]],")")</f>
        <v>GUATAQUÍ (CUNDINAMARCA)</v>
      </c>
      <c r="G411" s="19" t="s">
        <v>1150</v>
      </c>
    </row>
    <row r="412" spans="1:7" x14ac:dyDescent="0.15">
      <c r="A412" s="19">
        <v>25</v>
      </c>
      <c r="B412" s="14" t="s">
        <v>46</v>
      </c>
      <c r="D412" s="14" t="s">
        <v>1151</v>
      </c>
      <c r="E412" s="14" t="s">
        <v>1152</v>
      </c>
      <c r="F412" s="15" t="str">
        <f>CONCATENATE(Tabla1[[#This Row],[NOMBRE_MPIO]]," (",Tabla1[[#This Row],[NOMBRE_DEPTO]],")")</f>
        <v>GUATAVITA (CUNDINAMARCA)</v>
      </c>
      <c r="G412" s="19" t="s">
        <v>1152</v>
      </c>
    </row>
    <row r="413" spans="1:7" x14ac:dyDescent="0.15">
      <c r="A413" s="19">
        <v>15</v>
      </c>
      <c r="B413" s="14" t="s">
        <v>113</v>
      </c>
      <c r="C413" s="14" t="s">
        <v>10</v>
      </c>
      <c r="D413" s="14" t="s">
        <v>1153</v>
      </c>
      <c r="E413" s="14" t="s">
        <v>1154</v>
      </c>
      <c r="F413" s="15" t="str">
        <f>CONCATENATE(Tabla1[[#This Row],[NOMBRE_MPIO]]," (",Tabla1[[#This Row],[NOMBRE_DEPTO]],")")</f>
        <v>GUATEQUE (BOYACÁ)</v>
      </c>
      <c r="G413" s="19" t="s">
        <v>1154</v>
      </c>
    </row>
    <row r="414" spans="1:7" x14ac:dyDescent="0.15">
      <c r="A414" s="19">
        <v>66</v>
      </c>
      <c r="B414" s="14" t="s">
        <v>191</v>
      </c>
      <c r="D414" s="14" t="s">
        <v>1155</v>
      </c>
      <c r="E414" s="14" t="s">
        <v>1156</v>
      </c>
      <c r="F414" s="15" t="str">
        <f>CONCATENATE(Tabla1[[#This Row],[NOMBRE_MPIO]]," (",Tabla1[[#This Row],[NOMBRE_DEPTO]],")")</f>
        <v>GUÁTICA (RISARALDA)</v>
      </c>
      <c r="G414" s="19" t="s">
        <v>1156</v>
      </c>
    </row>
    <row r="415" spans="1:7" x14ac:dyDescent="0.15">
      <c r="A415" s="19">
        <v>68</v>
      </c>
      <c r="B415" s="14" t="s">
        <v>56</v>
      </c>
      <c r="D415" s="14" t="s">
        <v>1157</v>
      </c>
      <c r="E415" s="14" t="s">
        <v>1158</v>
      </c>
      <c r="F415" s="15" t="str">
        <f>CONCATENATE(Tabla1[[#This Row],[NOMBRE_MPIO]]," (",Tabla1[[#This Row],[NOMBRE_DEPTO]],")")</f>
        <v>GUAVATÁ (SANTANDER)</v>
      </c>
      <c r="G415" s="19" t="s">
        <v>1158</v>
      </c>
    </row>
    <row r="416" spans="1:7" x14ac:dyDescent="0.15">
      <c r="A416" s="19">
        <v>25</v>
      </c>
      <c r="B416" s="14" t="s">
        <v>46</v>
      </c>
      <c r="D416" s="14" t="s">
        <v>1159</v>
      </c>
      <c r="E416" s="14" t="s">
        <v>1160</v>
      </c>
      <c r="F416" s="15" t="str">
        <f>CONCATENATE(Tabla1[[#This Row],[NOMBRE_MPIO]]," (",Tabla1[[#This Row],[NOMBRE_DEPTO]],")")</f>
        <v>GUAYABAL DE SIQUIMA (CUNDINAMARCA)</v>
      </c>
      <c r="G416" s="19" t="s">
        <v>1160</v>
      </c>
    </row>
    <row r="417" spans="1:7" x14ac:dyDescent="0.15">
      <c r="A417" s="19">
        <v>25</v>
      </c>
      <c r="B417" s="14" t="s">
        <v>46</v>
      </c>
      <c r="D417" s="14" t="s">
        <v>1161</v>
      </c>
      <c r="E417" s="14" t="s">
        <v>1162</v>
      </c>
      <c r="F417" s="15" t="str">
        <f>CONCATENATE(Tabla1[[#This Row],[NOMBRE_MPIO]]," (",Tabla1[[#This Row],[NOMBRE_DEPTO]],")")</f>
        <v>GUAYABETAL (CUNDINAMARCA)</v>
      </c>
      <c r="G417" s="19" t="s">
        <v>1162</v>
      </c>
    </row>
    <row r="418" spans="1:7" x14ac:dyDescent="0.15">
      <c r="A418" s="19">
        <v>15</v>
      </c>
      <c r="B418" s="14" t="s">
        <v>113</v>
      </c>
      <c r="C418" s="14" t="s">
        <v>10</v>
      </c>
      <c r="D418" s="14" t="s">
        <v>1163</v>
      </c>
      <c r="E418" s="14" t="s">
        <v>1164</v>
      </c>
      <c r="F418" s="15" t="str">
        <f>CONCATENATE(Tabla1[[#This Row],[NOMBRE_MPIO]]," (",Tabla1[[#This Row],[NOMBRE_DEPTO]],")")</f>
        <v>GUAYATÁ (BOYACÁ)</v>
      </c>
      <c r="G418" s="19" t="s">
        <v>1164</v>
      </c>
    </row>
    <row r="419" spans="1:7" x14ac:dyDescent="0.15">
      <c r="A419" s="19">
        <v>68</v>
      </c>
      <c r="B419" s="14" t="s">
        <v>56</v>
      </c>
      <c r="D419" s="14" t="s">
        <v>1165</v>
      </c>
      <c r="E419" s="14" t="s">
        <v>1166</v>
      </c>
      <c r="F419" s="15" t="str">
        <f>CONCATENATE(Tabla1[[#This Row],[NOMBRE_MPIO]]," (",Tabla1[[#This Row],[NOMBRE_DEPTO]],")")</f>
        <v>GuEPSA (SANTANDER)</v>
      </c>
      <c r="G419" s="19" t="s">
        <v>1166</v>
      </c>
    </row>
    <row r="420" spans="1:7" x14ac:dyDescent="0.15">
      <c r="A420" s="19">
        <v>15</v>
      </c>
      <c r="B420" s="14" t="s">
        <v>113</v>
      </c>
      <c r="C420" s="14" t="s">
        <v>725</v>
      </c>
      <c r="D420" s="14" t="s">
        <v>1167</v>
      </c>
      <c r="E420" s="14" t="s">
        <v>1168</v>
      </c>
      <c r="F420" s="15" t="str">
        <f>CONCATENATE(Tabla1[[#This Row],[NOMBRE_MPIO]]," (",Tabla1[[#This Row],[NOMBRE_DEPTO]],")")</f>
        <v>GÜICÁN (BOYACÁ)</v>
      </c>
      <c r="G420" s="19" t="s">
        <v>1168</v>
      </c>
    </row>
    <row r="421" spans="1:7" x14ac:dyDescent="0.15">
      <c r="A421" s="19">
        <v>25</v>
      </c>
      <c r="B421" s="14" t="s">
        <v>46</v>
      </c>
      <c r="D421" s="14" t="s">
        <v>1169</v>
      </c>
      <c r="E421" s="14" t="s">
        <v>1170</v>
      </c>
      <c r="F421" s="15" t="str">
        <f>CONCATENATE(Tabla1[[#This Row],[NOMBRE_MPIO]]," (",Tabla1[[#This Row],[NOMBRE_DEPTO]],")")</f>
        <v>GUTIÉRREZ (CUNDINAMARCA)</v>
      </c>
      <c r="G421" s="19" t="s">
        <v>1170</v>
      </c>
    </row>
    <row r="422" spans="1:7" x14ac:dyDescent="0.15">
      <c r="A422" s="19">
        <v>54</v>
      </c>
      <c r="B422" s="14" t="s">
        <v>14</v>
      </c>
      <c r="D422" s="14" t="s">
        <v>1171</v>
      </c>
      <c r="E422" s="14" t="s">
        <v>1172</v>
      </c>
      <c r="F422" s="15" t="str">
        <f>CONCATENATE(Tabla1[[#This Row],[NOMBRE_MPIO]]," (",Tabla1[[#This Row],[NOMBRE_DEPTO]],")")</f>
        <v>HACARÍ (NORTE DE SANTANDER)</v>
      </c>
      <c r="G422" s="19" t="s">
        <v>1172</v>
      </c>
    </row>
    <row r="423" spans="1:7" x14ac:dyDescent="0.15">
      <c r="A423" s="19">
        <v>13</v>
      </c>
      <c r="B423" s="14" t="s">
        <v>37</v>
      </c>
      <c r="C423" s="14" t="s">
        <v>751</v>
      </c>
      <c r="D423" s="14" t="s">
        <v>1173</v>
      </c>
      <c r="E423" s="14" t="s">
        <v>1174</v>
      </c>
      <c r="F423" s="15" t="str">
        <f>CONCATENATE(Tabla1[[#This Row],[NOMBRE_MPIO]]," (",Tabla1[[#This Row],[NOMBRE_DEPTO]],")")</f>
        <v>HATILLO DE LOBA (BOLIVAR)</v>
      </c>
      <c r="G423" s="19" t="s">
        <v>1174</v>
      </c>
    </row>
    <row r="424" spans="1:7" x14ac:dyDescent="0.15">
      <c r="A424" s="19">
        <v>68</v>
      </c>
      <c r="B424" s="14" t="s">
        <v>56</v>
      </c>
      <c r="D424" s="14" t="s">
        <v>1175</v>
      </c>
      <c r="E424" s="14" t="s">
        <v>1176</v>
      </c>
      <c r="F424" s="15" t="str">
        <f>CONCATENATE(Tabla1[[#This Row],[NOMBRE_MPIO]]," (",Tabla1[[#This Row],[NOMBRE_DEPTO]],")")</f>
        <v>HATO (SANTANDER)</v>
      </c>
      <c r="G424" s="19" t="s">
        <v>1176</v>
      </c>
    </row>
    <row r="425" spans="1:7" x14ac:dyDescent="0.15">
      <c r="A425" s="19">
        <v>85</v>
      </c>
      <c r="B425" s="14" t="s">
        <v>66</v>
      </c>
      <c r="C425" s="14" t="s">
        <v>66</v>
      </c>
      <c r="D425" s="14" t="s">
        <v>1177</v>
      </c>
      <c r="E425" s="14" t="s">
        <v>1178</v>
      </c>
      <c r="F425" s="15" t="str">
        <f>CONCATENATE(Tabla1[[#This Row],[NOMBRE_MPIO]]," (",Tabla1[[#This Row],[NOMBRE_DEPTO]],")")</f>
        <v>HATO COROZAL (CASANARE)</v>
      </c>
      <c r="G425" s="19" t="s">
        <v>1178</v>
      </c>
    </row>
    <row r="426" spans="1:7" x14ac:dyDescent="0.15">
      <c r="A426" s="19">
        <v>44</v>
      </c>
      <c r="B426" s="14" t="s">
        <v>87</v>
      </c>
      <c r="D426" s="14" t="s">
        <v>1179</v>
      </c>
      <c r="E426" s="14" t="s">
        <v>1180</v>
      </c>
      <c r="F426" s="15" t="str">
        <f>CONCATENATE(Tabla1[[#This Row],[NOMBRE_MPIO]]," (",Tabla1[[#This Row],[NOMBRE_DEPTO]],")")</f>
        <v>HATONUEVO (LA GUAJIRA)</v>
      </c>
      <c r="G426" s="19" t="s">
        <v>1180</v>
      </c>
    </row>
    <row r="427" spans="1:7" x14ac:dyDescent="0.15">
      <c r="A427" s="19">
        <v>5</v>
      </c>
      <c r="B427" s="14" t="s">
        <v>9</v>
      </c>
      <c r="C427" s="14" t="s">
        <v>15</v>
      </c>
      <c r="D427" s="14" t="s">
        <v>1181</v>
      </c>
      <c r="E427" s="14" t="s">
        <v>1182</v>
      </c>
      <c r="F427" s="15" t="str">
        <f>CONCATENATE(Tabla1[[#This Row],[NOMBRE_MPIO]]," (",Tabla1[[#This Row],[NOMBRE_DEPTO]],")")</f>
        <v>HELICONIA (ANTIOQUIA)</v>
      </c>
      <c r="G427" s="19" t="s">
        <v>1182</v>
      </c>
    </row>
    <row r="428" spans="1:7" x14ac:dyDescent="0.15">
      <c r="A428" s="19">
        <v>54</v>
      </c>
      <c r="B428" s="14" t="s">
        <v>14</v>
      </c>
      <c r="D428" s="14" t="s">
        <v>1183</v>
      </c>
      <c r="E428" s="14" t="s">
        <v>1184</v>
      </c>
      <c r="F428" s="15" t="str">
        <f>CONCATENATE(Tabla1[[#This Row],[NOMBRE_MPIO]]," (",Tabla1[[#This Row],[NOMBRE_DEPTO]],")")</f>
        <v>HERRÁN (NORTE DE SANTANDER)</v>
      </c>
      <c r="G428" s="19" t="s">
        <v>1184</v>
      </c>
    </row>
    <row r="429" spans="1:7" x14ac:dyDescent="0.15">
      <c r="A429" s="19">
        <v>73</v>
      </c>
      <c r="B429" s="14" t="s">
        <v>117</v>
      </c>
      <c r="D429" s="14" t="s">
        <v>1185</v>
      </c>
      <c r="E429" s="14" t="s">
        <v>1186</v>
      </c>
      <c r="F429" s="15" t="str">
        <f>CONCATENATE(Tabla1[[#This Row],[NOMBRE_MPIO]]," (",Tabla1[[#This Row],[NOMBRE_DEPTO]],")")</f>
        <v>HERVEO (TOLIMA)</v>
      </c>
      <c r="G429" s="19" t="s">
        <v>1186</v>
      </c>
    </row>
    <row r="430" spans="1:7" x14ac:dyDescent="0.15">
      <c r="A430" s="19">
        <v>5</v>
      </c>
      <c r="B430" s="14" t="s">
        <v>9</v>
      </c>
      <c r="C430" s="14" t="s">
        <v>137</v>
      </c>
      <c r="D430" s="14" t="s">
        <v>1187</v>
      </c>
      <c r="E430" s="14" t="s">
        <v>1188</v>
      </c>
      <c r="F430" s="15" t="str">
        <f>CONCATENATE(Tabla1[[#This Row],[NOMBRE_MPIO]]," (",Tabla1[[#This Row],[NOMBRE_DEPTO]],")")</f>
        <v>HISPANIA (ANTIOQUIA)</v>
      </c>
      <c r="G430" s="19" t="s">
        <v>1188</v>
      </c>
    </row>
    <row r="431" spans="1:7" x14ac:dyDescent="0.15">
      <c r="A431" s="19">
        <v>41</v>
      </c>
      <c r="B431" s="14" t="s">
        <v>32</v>
      </c>
      <c r="D431" s="14" t="s">
        <v>1189</v>
      </c>
      <c r="E431" s="14" t="s">
        <v>1190</v>
      </c>
      <c r="F431" s="15" t="str">
        <f>CONCATENATE(Tabla1[[#This Row],[NOMBRE_MPIO]]," (",Tabla1[[#This Row],[NOMBRE_DEPTO]],")")</f>
        <v>HOBO (HUILA)</v>
      </c>
      <c r="G431" s="19" t="s">
        <v>1190</v>
      </c>
    </row>
    <row r="432" spans="1:7" x14ac:dyDescent="0.15">
      <c r="A432" s="19">
        <v>73</v>
      </c>
      <c r="B432" s="14" t="s">
        <v>117</v>
      </c>
      <c r="D432" s="14" t="s">
        <v>1191</v>
      </c>
      <c r="E432" s="14" t="s">
        <v>1192</v>
      </c>
      <c r="F432" s="15" t="str">
        <f>CONCATENATE(Tabla1[[#This Row],[NOMBRE_MPIO]]," (",Tabla1[[#This Row],[NOMBRE_DEPTO]],")")</f>
        <v>HONDA (TOLIMA)</v>
      </c>
      <c r="G432" s="19" t="s">
        <v>1192</v>
      </c>
    </row>
    <row r="433" spans="1:7" x14ac:dyDescent="0.15">
      <c r="A433" s="19">
        <v>73</v>
      </c>
      <c r="B433" s="14" t="s">
        <v>117</v>
      </c>
      <c r="D433" s="14" t="s">
        <v>1193</v>
      </c>
      <c r="E433" s="14" t="s">
        <v>1194</v>
      </c>
      <c r="F433" s="15" t="str">
        <f>CONCATENATE(Tabla1[[#This Row],[NOMBRE_MPIO]]," (",Tabla1[[#This Row],[NOMBRE_DEPTO]],")")</f>
        <v>IBAGUe (TOLIMA)</v>
      </c>
      <c r="G433" s="19" t="s">
        <v>1194</v>
      </c>
    </row>
    <row r="434" spans="1:7" x14ac:dyDescent="0.15">
      <c r="A434" s="19">
        <v>73</v>
      </c>
      <c r="B434" s="14" t="s">
        <v>117</v>
      </c>
      <c r="D434" s="14" t="s">
        <v>1195</v>
      </c>
      <c r="E434" s="14" t="s">
        <v>1196</v>
      </c>
      <c r="F434" s="15" t="str">
        <f>CONCATENATE(Tabla1[[#This Row],[NOMBRE_MPIO]]," (",Tabla1[[#This Row],[NOMBRE_DEPTO]],")")</f>
        <v>ICONONZO (TOLIMA)</v>
      </c>
      <c r="G434" s="19" t="s">
        <v>1196</v>
      </c>
    </row>
    <row r="435" spans="1:7" x14ac:dyDescent="0.15">
      <c r="A435" s="19">
        <v>52</v>
      </c>
      <c r="B435" s="14" t="s">
        <v>80</v>
      </c>
      <c r="D435" s="14" t="s">
        <v>1197</v>
      </c>
      <c r="E435" s="14" t="s">
        <v>1198</v>
      </c>
      <c r="F435" s="15" t="str">
        <f>CONCATENATE(Tabla1[[#This Row],[NOMBRE_MPIO]]," (",Tabla1[[#This Row],[NOMBRE_DEPTO]],")")</f>
        <v>ILES (NARIÑO)</v>
      </c>
      <c r="G435" s="19" t="s">
        <v>1198</v>
      </c>
    </row>
    <row r="436" spans="1:7" x14ac:dyDescent="0.15">
      <c r="A436" s="19">
        <v>52</v>
      </c>
      <c r="B436" s="14" t="s">
        <v>80</v>
      </c>
      <c r="D436" s="14" t="s">
        <v>1199</v>
      </c>
      <c r="E436" s="14" t="s">
        <v>1200</v>
      </c>
      <c r="F436" s="15" t="str">
        <f>CONCATENATE(Tabla1[[#This Row],[NOMBRE_MPIO]]," (",Tabla1[[#This Row],[NOMBRE_DEPTO]],")")</f>
        <v>IMUES (NARIÑO)</v>
      </c>
      <c r="G436" s="19" t="s">
        <v>1200</v>
      </c>
    </row>
    <row r="437" spans="1:7" x14ac:dyDescent="0.15">
      <c r="A437" s="19">
        <v>94</v>
      </c>
      <c r="B437" s="14" t="s">
        <v>330</v>
      </c>
      <c r="D437" s="14" t="s">
        <v>1201</v>
      </c>
      <c r="E437" s="14" t="s">
        <v>1202</v>
      </c>
      <c r="F437" s="15" t="str">
        <f>CONCATENATE(Tabla1[[#This Row],[NOMBRE_MPIO]]," (",Tabla1[[#This Row],[NOMBRE_DEPTO]],")")</f>
        <v>INÍRIDA (GUAINIA)</v>
      </c>
      <c r="G437" s="19" t="s">
        <v>1202</v>
      </c>
    </row>
    <row r="438" spans="1:7" x14ac:dyDescent="0.15">
      <c r="A438" s="19">
        <v>19</v>
      </c>
      <c r="B438" s="14" t="s">
        <v>109</v>
      </c>
      <c r="C438" s="14" t="s">
        <v>10</v>
      </c>
      <c r="D438" s="14" t="s">
        <v>1203</v>
      </c>
      <c r="E438" s="14" t="s">
        <v>1204</v>
      </c>
      <c r="F438" s="15" t="str">
        <f>CONCATENATE(Tabla1[[#This Row],[NOMBRE_MPIO]]," (",Tabla1[[#This Row],[NOMBRE_DEPTO]],")")</f>
        <v>INZÁ (CAUCA)</v>
      </c>
      <c r="G438" s="19" t="s">
        <v>1204</v>
      </c>
    </row>
    <row r="439" spans="1:7" x14ac:dyDescent="0.15">
      <c r="A439" s="19">
        <v>52</v>
      </c>
      <c r="B439" s="14" t="s">
        <v>80</v>
      </c>
      <c r="D439" s="14" t="s">
        <v>1205</v>
      </c>
      <c r="E439" s="14" t="s">
        <v>1206</v>
      </c>
      <c r="F439" s="15" t="str">
        <f>CONCATENATE(Tabla1[[#This Row],[NOMBRE_MPIO]]," (",Tabla1[[#This Row],[NOMBRE_DEPTO]],")")</f>
        <v>IPIALES (NARIÑO)</v>
      </c>
      <c r="G439" s="19" t="s">
        <v>1206</v>
      </c>
    </row>
    <row r="440" spans="1:7" x14ac:dyDescent="0.15">
      <c r="A440" s="19">
        <v>41</v>
      </c>
      <c r="B440" s="14" t="s">
        <v>32</v>
      </c>
      <c r="D440" s="14" t="s">
        <v>1207</v>
      </c>
      <c r="E440" s="14" t="s">
        <v>1208</v>
      </c>
      <c r="F440" s="15" t="str">
        <f>CONCATENATE(Tabla1[[#This Row],[NOMBRE_MPIO]]," (",Tabla1[[#This Row],[NOMBRE_DEPTO]],")")</f>
        <v>IQUIRA (HUILA)</v>
      </c>
      <c r="G440" s="19" t="s">
        <v>1208</v>
      </c>
    </row>
    <row r="441" spans="1:7" x14ac:dyDescent="0.15">
      <c r="A441" s="19">
        <v>41</v>
      </c>
      <c r="B441" s="14" t="s">
        <v>32</v>
      </c>
      <c r="D441" s="14" t="s">
        <v>1209</v>
      </c>
      <c r="E441" s="14" t="s">
        <v>1210</v>
      </c>
      <c r="F441" s="15" t="str">
        <f>CONCATENATE(Tabla1[[#This Row],[NOMBRE_MPIO]]," (",Tabla1[[#This Row],[NOMBRE_DEPTO]],")")</f>
        <v>ISNOS (HUILA)</v>
      </c>
      <c r="G441" s="19" t="s">
        <v>1210</v>
      </c>
    </row>
    <row r="442" spans="1:7" x14ac:dyDescent="0.15">
      <c r="A442" s="19">
        <v>5</v>
      </c>
      <c r="B442" s="14" t="s">
        <v>9</v>
      </c>
      <c r="C442" s="14" t="s">
        <v>308</v>
      </c>
      <c r="D442" s="14" t="s">
        <v>1211</v>
      </c>
      <c r="E442" s="14" t="s">
        <v>1212</v>
      </c>
      <c r="F442" s="15" t="str">
        <f>CONCATENATE(Tabla1[[#This Row],[NOMBRE_MPIO]]," (",Tabla1[[#This Row],[NOMBRE_DEPTO]],")")</f>
        <v>ITAGUI (ANTIOQUIA)</v>
      </c>
      <c r="G442" s="19" t="s">
        <v>1212</v>
      </c>
    </row>
    <row r="443" spans="1:7" x14ac:dyDescent="0.15">
      <c r="A443" s="19">
        <v>27</v>
      </c>
      <c r="B443" s="14" t="s">
        <v>27</v>
      </c>
      <c r="D443" s="14" t="s">
        <v>1213</v>
      </c>
      <c r="E443" s="14" t="s">
        <v>1214</v>
      </c>
      <c r="F443" s="15" t="str">
        <f>CONCATENATE(Tabla1[[#This Row],[NOMBRE_MPIO]]," (",Tabla1[[#This Row],[NOMBRE_DEPTO]],")")</f>
        <v>ITSMINA (CHOCO)</v>
      </c>
      <c r="G443" s="19" t="s">
        <v>1214</v>
      </c>
    </row>
    <row r="444" spans="1:7" x14ac:dyDescent="0.15">
      <c r="A444" s="19">
        <v>5</v>
      </c>
      <c r="B444" s="14" t="s">
        <v>9</v>
      </c>
      <c r="C444" s="14" t="s">
        <v>62</v>
      </c>
      <c r="D444" s="14" t="s">
        <v>1215</v>
      </c>
      <c r="E444" s="14" t="s">
        <v>1216</v>
      </c>
      <c r="F444" s="15" t="str">
        <f>CONCATENATE(Tabla1[[#This Row],[NOMBRE_MPIO]]," (",Tabla1[[#This Row],[NOMBRE_DEPTO]],")")</f>
        <v>ITUANGO (ANTIOQUIA)</v>
      </c>
      <c r="G444" s="19" t="s">
        <v>1216</v>
      </c>
    </row>
    <row r="445" spans="1:7" x14ac:dyDescent="0.15">
      <c r="A445" s="19">
        <v>15</v>
      </c>
      <c r="B445" s="14" t="s">
        <v>113</v>
      </c>
      <c r="C445" s="14" t="s">
        <v>199</v>
      </c>
      <c r="D445" s="14" t="s">
        <v>1217</v>
      </c>
      <c r="E445" s="14" t="s">
        <v>1218</v>
      </c>
      <c r="F445" s="15" t="str">
        <f>CONCATENATE(Tabla1[[#This Row],[NOMBRE_MPIO]]," (",Tabla1[[#This Row],[NOMBRE_DEPTO]],")")</f>
        <v>IZA (BOYACÁ)</v>
      </c>
      <c r="G445" s="19" t="s">
        <v>1218</v>
      </c>
    </row>
    <row r="446" spans="1:7" x14ac:dyDescent="0.15">
      <c r="A446" s="19">
        <v>19</v>
      </c>
      <c r="B446" s="14" t="s">
        <v>109</v>
      </c>
      <c r="C446" s="14" t="s">
        <v>10</v>
      </c>
      <c r="D446" s="14" t="s">
        <v>1219</v>
      </c>
      <c r="E446" s="14" t="s">
        <v>1220</v>
      </c>
      <c r="F446" s="15" t="str">
        <f>CONCATENATE(Tabla1[[#This Row],[NOMBRE_MPIO]]," (",Tabla1[[#This Row],[NOMBRE_DEPTO]],")")</f>
        <v>JAMBALO (CAUCA)</v>
      </c>
      <c r="G446" s="19" t="s">
        <v>1220</v>
      </c>
    </row>
    <row r="447" spans="1:7" x14ac:dyDescent="0.15">
      <c r="A447" s="19">
        <v>76</v>
      </c>
      <c r="B447" s="14" t="s">
        <v>92</v>
      </c>
      <c r="D447" s="14" t="s">
        <v>1221</v>
      </c>
      <c r="E447" s="14" t="s">
        <v>1222</v>
      </c>
      <c r="F447" s="15" t="str">
        <f>CONCATENATE(Tabla1[[#This Row],[NOMBRE_MPIO]]," (",Tabla1[[#This Row],[NOMBRE_DEPTO]],")")</f>
        <v>JAMUNDÍ (VALLE DEL CAUCA)</v>
      </c>
      <c r="G447" s="19" t="s">
        <v>1222</v>
      </c>
    </row>
    <row r="448" spans="1:7" x14ac:dyDescent="0.15">
      <c r="A448" s="19">
        <v>5</v>
      </c>
      <c r="B448" s="14" t="s">
        <v>9</v>
      </c>
      <c r="C448" s="14" t="s">
        <v>137</v>
      </c>
      <c r="D448" s="14" t="s">
        <v>1223</v>
      </c>
      <c r="E448" s="14" t="s">
        <v>1224</v>
      </c>
      <c r="F448" s="15" t="str">
        <f>CONCATENATE(Tabla1[[#This Row],[NOMBRE_MPIO]]," (",Tabla1[[#This Row],[NOMBRE_DEPTO]],")")</f>
        <v>JARDÍN (ANTIOQUIA)</v>
      </c>
      <c r="G448" s="19" t="s">
        <v>1224</v>
      </c>
    </row>
    <row r="449" spans="1:7" x14ac:dyDescent="0.15">
      <c r="A449" s="19">
        <v>15</v>
      </c>
      <c r="B449" s="14" t="s">
        <v>113</v>
      </c>
      <c r="C449" s="14" t="s">
        <v>418</v>
      </c>
      <c r="D449" s="14" t="s">
        <v>1225</v>
      </c>
      <c r="E449" s="14" t="s">
        <v>1226</v>
      </c>
      <c r="F449" s="15" t="str">
        <f>CONCATENATE(Tabla1[[#This Row],[NOMBRE_MPIO]]," (",Tabla1[[#This Row],[NOMBRE_DEPTO]],")")</f>
        <v>JENESANO (BOYACÁ)</v>
      </c>
      <c r="G449" s="19" t="s">
        <v>1226</v>
      </c>
    </row>
    <row r="450" spans="1:7" x14ac:dyDescent="0.15">
      <c r="A450" s="19">
        <v>5</v>
      </c>
      <c r="B450" s="14" t="s">
        <v>9</v>
      </c>
      <c r="C450" s="14" t="s">
        <v>137</v>
      </c>
      <c r="D450" s="14" t="s">
        <v>1227</v>
      </c>
      <c r="E450" s="14" t="s">
        <v>1228</v>
      </c>
      <c r="F450" s="15" t="str">
        <f>CONCATENATE(Tabla1[[#This Row],[NOMBRE_MPIO]]," (",Tabla1[[#This Row],[NOMBRE_DEPTO]],")")</f>
        <v>JERICÓ (ANTIOQUIA)</v>
      </c>
      <c r="G450" s="19" t="s">
        <v>1228</v>
      </c>
    </row>
    <row r="451" spans="1:7" x14ac:dyDescent="0.15">
      <c r="A451" s="19">
        <v>15</v>
      </c>
      <c r="B451" s="14" t="s">
        <v>113</v>
      </c>
      <c r="C451" s="14" t="s">
        <v>377</v>
      </c>
      <c r="D451" s="14" t="s">
        <v>1227</v>
      </c>
      <c r="E451" s="14" t="s">
        <v>1229</v>
      </c>
      <c r="F451" s="15" t="str">
        <f>CONCATENATE(Tabla1[[#This Row],[NOMBRE_MPIO]]," (",Tabla1[[#This Row],[NOMBRE_DEPTO]],")")</f>
        <v>JERICÓ (BOYACÁ)</v>
      </c>
      <c r="G451" s="19" t="s">
        <v>1229</v>
      </c>
    </row>
    <row r="452" spans="1:7" x14ac:dyDescent="0.15">
      <c r="A452" s="19">
        <v>25</v>
      </c>
      <c r="B452" s="14" t="s">
        <v>46</v>
      </c>
      <c r="D452" s="14" t="s">
        <v>1230</v>
      </c>
      <c r="E452" s="14" t="s">
        <v>1231</v>
      </c>
      <c r="F452" s="15" t="str">
        <f>CONCATENATE(Tabla1[[#This Row],[NOMBRE_MPIO]]," (",Tabla1[[#This Row],[NOMBRE_DEPTO]],")")</f>
        <v>JERUSALÉN (CUNDINAMARCA)</v>
      </c>
      <c r="G452" s="19" t="s">
        <v>1231</v>
      </c>
    </row>
    <row r="453" spans="1:7" x14ac:dyDescent="0.15">
      <c r="A453" s="19">
        <v>68</v>
      </c>
      <c r="B453" s="14" t="s">
        <v>56</v>
      </c>
      <c r="D453" s="14" t="s">
        <v>1232</v>
      </c>
      <c r="E453" s="14" t="s">
        <v>1233</v>
      </c>
      <c r="F453" s="15" t="str">
        <f>CONCATENATE(Tabla1[[#This Row],[NOMBRE_MPIO]]," (",Tabla1[[#This Row],[NOMBRE_DEPTO]],")")</f>
        <v>JESÚS MARÍA (SANTANDER)</v>
      </c>
      <c r="G453" s="19" t="s">
        <v>1233</v>
      </c>
    </row>
    <row r="454" spans="1:7" x14ac:dyDescent="0.15">
      <c r="A454" s="19">
        <v>68</v>
      </c>
      <c r="B454" s="14" t="s">
        <v>56</v>
      </c>
      <c r="D454" s="14" t="s">
        <v>1234</v>
      </c>
      <c r="E454" s="14" t="s">
        <v>1235</v>
      </c>
      <c r="F454" s="15" t="str">
        <f>CONCATENATE(Tabla1[[#This Row],[NOMBRE_MPIO]]," (",Tabla1[[#This Row],[NOMBRE_DEPTO]],")")</f>
        <v>JORDÁN (SANTANDER)</v>
      </c>
      <c r="G454" s="19" t="s">
        <v>1235</v>
      </c>
    </row>
    <row r="455" spans="1:7" x14ac:dyDescent="0.15">
      <c r="A455" s="19">
        <v>8</v>
      </c>
      <c r="B455" s="14" t="s">
        <v>296</v>
      </c>
      <c r="C455" s="14" t="s">
        <v>1236</v>
      </c>
      <c r="D455" s="14" t="s">
        <v>1237</v>
      </c>
      <c r="E455" s="14" t="s">
        <v>1238</v>
      </c>
      <c r="F455" s="15" t="str">
        <f>CONCATENATE(Tabla1[[#This Row],[NOMBRE_MPIO]]," (",Tabla1[[#This Row],[NOMBRE_DEPTO]],")")</f>
        <v>JUAN DE ACOSTA (ATLÁNTICO)</v>
      </c>
      <c r="G455" s="19" t="s">
        <v>1238</v>
      </c>
    </row>
    <row r="456" spans="1:7" x14ac:dyDescent="0.15">
      <c r="A456" s="19">
        <v>25</v>
      </c>
      <c r="B456" s="14" t="s">
        <v>46</v>
      </c>
      <c r="D456" s="14" t="s">
        <v>1239</v>
      </c>
      <c r="E456" s="14" t="s">
        <v>1240</v>
      </c>
      <c r="F456" s="15" t="str">
        <f>CONCATENATE(Tabla1[[#This Row],[NOMBRE_MPIO]]," (",Tabla1[[#This Row],[NOMBRE_DEPTO]],")")</f>
        <v>JUNÍN (CUNDINAMARCA)</v>
      </c>
      <c r="G456" s="19" t="s">
        <v>1240</v>
      </c>
    </row>
    <row r="457" spans="1:7" x14ac:dyDescent="0.15">
      <c r="A457" s="19">
        <v>27</v>
      </c>
      <c r="B457" s="14" t="s">
        <v>27</v>
      </c>
      <c r="C457" s="14" t="s">
        <v>284</v>
      </c>
      <c r="D457" s="14" t="s">
        <v>1241</v>
      </c>
      <c r="E457" s="14" t="s">
        <v>1242</v>
      </c>
      <c r="F457" s="15" t="str">
        <f>CONCATENATE(Tabla1[[#This Row],[NOMBRE_MPIO]]," (",Tabla1[[#This Row],[NOMBRE_DEPTO]],")")</f>
        <v>JURADÓ (CHOCO)</v>
      </c>
      <c r="G457" s="19" t="s">
        <v>1242</v>
      </c>
    </row>
    <row r="458" spans="1:7" x14ac:dyDescent="0.15">
      <c r="A458" s="19">
        <v>23</v>
      </c>
      <c r="B458" s="14" t="s">
        <v>276</v>
      </c>
      <c r="D458" s="14" t="s">
        <v>1243</v>
      </c>
      <c r="E458" s="14" t="s">
        <v>1244</v>
      </c>
      <c r="F458" s="15" t="str">
        <f>CONCATENATE(Tabla1[[#This Row],[NOMBRE_MPIO]]," (",Tabla1[[#This Row],[NOMBRE_DEPTO]],")")</f>
        <v>LA APARTADA (CORDOBA)</v>
      </c>
      <c r="G458" s="19" t="s">
        <v>1244</v>
      </c>
    </row>
    <row r="459" spans="1:7" x14ac:dyDescent="0.15">
      <c r="A459" s="19">
        <v>41</v>
      </c>
      <c r="B459" s="14" t="s">
        <v>32</v>
      </c>
      <c r="C459" s="14" t="s">
        <v>15</v>
      </c>
      <c r="D459" s="14" t="s">
        <v>1245</v>
      </c>
      <c r="E459" s="14" t="s">
        <v>1246</v>
      </c>
      <c r="F459" s="15" t="str">
        <f>CONCATENATE(Tabla1[[#This Row],[NOMBRE_MPIO]]," (",Tabla1[[#This Row],[NOMBRE_DEPTO]],")")</f>
        <v>LA ARGENTINA (HUILA)</v>
      </c>
      <c r="G459" s="19" t="s">
        <v>1246</v>
      </c>
    </row>
    <row r="460" spans="1:7" x14ac:dyDescent="0.15">
      <c r="A460" s="19">
        <v>68</v>
      </c>
      <c r="B460" s="14" t="s">
        <v>56</v>
      </c>
      <c r="D460" s="14" t="s">
        <v>1247</v>
      </c>
      <c r="E460" s="14" t="s">
        <v>1248</v>
      </c>
      <c r="F460" s="15" t="str">
        <f>CONCATENATE(Tabla1[[#This Row],[NOMBRE_MPIO]]," (",Tabla1[[#This Row],[NOMBRE_DEPTO]],")")</f>
        <v>LA BELLEZA (SANTANDER)</v>
      </c>
      <c r="G460" s="19" t="s">
        <v>1248</v>
      </c>
    </row>
    <row r="461" spans="1:7" x14ac:dyDescent="0.15">
      <c r="A461" s="19">
        <v>25</v>
      </c>
      <c r="B461" s="14" t="s">
        <v>46</v>
      </c>
      <c r="D461" s="14" t="s">
        <v>1249</v>
      </c>
      <c r="E461" s="14" t="s">
        <v>1250</v>
      </c>
      <c r="F461" s="15" t="str">
        <f>CONCATENATE(Tabla1[[#This Row],[NOMBRE_MPIO]]," (",Tabla1[[#This Row],[NOMBRE_DEPTO]],")")</f>
        <v>LA CALERA (CUNDINAMARCA)</v>
      </c>
      <c r="G461" s="19" t="s">
        <v>1250</v>
      </c>
    </row>
    <row r="462" spans="1:7" x14ac:dyDescent="0.15">
      <c r="A462" s="19">
        <v>15</v>
      </c>
      <c r="B462" s="14" t="s">
        <v>113</v>
      </c>
      <c r="C462" s="14" t="s">
        <v>10</v>
      </c>
      <c r="D462" s="14" t="s">
        <v>1251</v>
      </c>
      <c r="E462" s="14" t="s">
        <v>1252</v>
      </c>
      <c r="F462" s="15" t="str">
        <f>CONCATENATE(Tabla1[[#This Row],[NOMBRE_MPIO]]," (",Tabla1[[#This Row],[NOMBRE_DEPTO]],")")</f>
        <v>LA CAPILLA (BOYACÁ)</v>
      </c>
      <c r="G462" s="19" t="s">
        <v>1252</v>
      </c>
    </row>
    <row r="463" spans="1:7" x14ac:dyDescent="0.15">
      <c r="A463" s="19">
        <v>5</v>
      </c>
      <c r="B463" s="14" t="s">
        <v>9</v>
      </c>
      <c r="C463" s="14" t="s">
        <v>10</v>
      </c>
      <c r="D463" s="14" t="s">
        <v>1253</v>
      </c>
      <c r="E463" s="14" t="s">
        <v>1254</v>
      </c>
      <c r="F463" s="15" t="str">
        <f>CONCATENATE(Tabla1[[#This Row],[NOMBRE_MPIO]]," (",Tabla1[[#This Row],[NOMBRE_DEPTO]],")")</f>
        <v>LA CEJA (ANTIOQUIA)</v>
      </c>
      <c r="G463" s="19" t="s">
        <v>1254</v>
      </c>
    </row>
    <row r="464" spans="1:7" x14ac:dyDescent="0.15">
      <c r="A464" s="19">
        <v>66</v>
      </c>
      <c r="B464" s="14" t="s">
        <v>191</v>
      </c>
      <c r="D464" s="14" t="s">
        <v>1255</v>
      </c>
      <c r="E464" s="14" t="s">
        <v>1256</v>
      </c>
      <c r="F464" s="15" t="str">
        <f>CONCATENATE(Tabla1[[#This Row],[NOMBRE_MPIO]]," (",Tabla1[[#This Row],[NOMBRE_DEPTO]],")")</f>
        <v>LA CELIA (RISARALDA)</v>
      </c>
      <c r="G464" s="19" t="s">
        <v>1256</v>
      </c>
    </row>
    <row r="465" spans="1:7" x14ac:dyDescent="0.15">
      <c r="A465" s="19">
        <v>91</v>
      </c>
      <c r="B465" s="14" t="s">
        <v>950</v>
      </c>
      <c r="C465" s="14" t="s">
        <v>950</v>
      </c>
      <c r="D465" s="14" t="s">
        <v>1257</v>
      </c>
      <c r="E465" s="14" t="s">
        <v>1258</v>
      </c>
      <c r="F465" s="15" t="str">
        <f>CONCATENATE(Tabla1[[#This Row],[NOMBRE_MPIO]]," (",Tabla1[[#This Row],[NOMBRE_DEPTO]],")")</f>
        <v>LA CHORRERA (AMAZONAS)</v>
      </c>
      <c r="G465" s="19" t="s">
        <v>1258</v>
      </c>
    </row>
    <row r="466" spans="1:7" x14ac:dyDescent="0.15">
      <c r="A466" s="19">
        <v>52</v>
      </c>
      <c r="B466" s="14" t="s">
        <v>80</v>
      </c>
      <c r="D466" s="14" t="s">
        <v>1259</v>
      </c>
      <c r="E466" s="14" t="s">
        <v>1260</v>
      </c>
      <c r="F466" s="15" t="str">
        <f>CONCATENATE(Tabla1[[#This Row],[NOMBRE_MPIO]]," (",Tabla1[[#This Row],[NOMBRE_DEPTO]],")")</f>
        <v>LA CRUZ (NARIÑO)</v>
      </c>
      <c r="G466" s="19" t="s">
        <v>1260</v>
      </c>
    </row>
    <row r="467" spans="1:7" x14ac:dyDescent="0.15">
      <c r="A467" s="19">
        <v>76</v>
      </c>
      <c r="B467" s="14" t="s">
        <v>92</v>
      </c>
      <c r="D467" s="14" t="s">
        <v>1261</v>
      </c>
      <c r="E467" s="14" t="s">
        <v>1262</v>
      </c>
      <c r="F467" s="15" t="str">
        <f>CONCATENATE(Tabla1[[#This Row],[NOMBRE_MPIO]]," (",Tabla1[[#This Row],[NOMBRE_DEPTO]],")")</f>
        <v>LA CUMBRE (VALLE DEL CAUCA)</v>
      </c>
      <c r="G467" s="19" t="s">
        <v>1262</v>
      </c>
    </row>
    <row r="468" spans="1:7" x14ac:dyDescent="0.15">
      <c r="A468" s="19">
        <v>17</v>
      </c>
      <c r="B468" s="14" t="s">
        <v>61</v>
      </c>
      <c r="C468" s="14" t="s">
        <v>10</v>
      </c>
      <c r="D468" s="14" t="s">
        <v>1263</v>
      </c>
      <c r="E468" s="14" t="s">
        <v>1264</v>
      </c>
      <c r="F468" s="15" t="str">
        <f>CONCATENATE(Tabla1[[#This Row],[NOMBRE_MPIO]]," (",Tabla1[[#This Row],[NOMBRE_DEPTO]],")")</f>
        <v>LA DORADA (CALDAS)</v>
      </c>
      <c r="G468" s="19" t="s">
        <v>1264</v>
      </c>
    </row>
    <row r="469" spans="1:7" x14ac:dyDescent="0.15">
      <c r="A469" s="19">
        <v>54</v>
      </c>
      <c r="B469" s="14" t="s">
        <v>14</v>
      </c>
      <c r="D469" s="14" t="s">
        <v>1265</v>
      </c>
      <c r="E469" s="14" t="s">
        <v>1266</v>
      </c>
      <c r="F469" s="15" t="str">
        <f>CONCATENATE(Tabla1[[#This Row],[NOMBRE_MPIO]]," (",Tabla1[[#This Row],[NOMBRE_DEPTO]],")")</f>
        <v>LA ESPERANZA (NORTE DE SANTANDER)</v>
      </c>
      <c r="G469" s="19" t="s">
        <v>1266</v>
      </c>
    </row>
    <row r="470" spans="1:7" x14ac:dyDescent="0.15">
      <c r="A470" s="19">
        <v>5</v>
      </c>
      <c r="B470" s="14" t="s">
        <v>9</v>
      </c>
      <c r="C470" s="14" t="s">
        <v>308</v>
      </c>
      <c r="D470" s="14" t="s">
        <v>1267</v>
      </c>
      <c r="E470" s="14" t="s">
        <v>1268</v>
      </c>
      <c r="F470" s="15" t="str">
        <f>CONCATENATE(Tabla1[[#This Row],[NOMBRE_MPIO]]," (",Tabla1[[#This Row],[NOMBRE_DEPTO]],")")</f>
        <v>LA ESTRELLA (ANTIOQUIA)</v>
      </c>
      <c r="G470" s="19" t="s">
        <v>1268</v>
      </c>
    </row>
    <row r="471" spans="1:7" x14ac:dyDescent="0.15">
      <c r="A471" s="19">
        <v>52</v>
      </c>
      <c r="B471" s="14" t="s">
        <v>80</v>
      </c>
      <c r="D471" s="14" t="s">
        <v>1269</v>
      </c>
      <c r="E471" s="14" t="s">
        <v>1270</v>
      </c>
      <c r="F471" s="15" t="str">
        <f>CONCATENATE(Tabla1[[#This Row],[NOMBRE_MPIO]]," (",Tabla1[[#This Row],[NOMBRE_DEPTO]],")")</f>
        <v>LA FLORIDA (NARIÑO)</v>
      </c>
      <c r="G471" s="19" t="s">
        <v>1270</v>
      </c>
    </row>
    <row r="472" spans="1:7" x14ac:dyDescent="0.15">
      <c r="A472" s="19">
        <v>20</v>
      </c>
      <c r="B472" s="14" t="s">
        <v>51</v>
      </c>
      <c r="C472" s="14" t="s">
        <v>52</v>
      </c>
      <c r="D472" s="14" t="s">
        <v>1271</v>
      </c>
      <c r="E472" s="14" t="s">
        <v>1272</v>
      </c>
      <c r="F472" s="15" t="str">
        <f>CONCATENATE(Tabla1[[#This Row],[NOMBRE_MPIO]]," (",Tabla1[[#This Row],[NOMBRE_DEPTO]],")")</f>
        <v>LA GLORIA (CESAR)</v>
      </c>
      <c r="G472" s="19" t="s">
        <v>1272</v>
      </c>
    </row>
    <row r="473" spans="1:7" x14ac:dyDescent="0.15">
      <c r="A473" s="19">
        <v>94</v>
      </c>
      <c r="B473" s="14" t="s">
        <v>330</v>
      </c>
      <c r="D473" s="14" t="s">
        <v>1273</v>
      </c>
      <c r="E473" s="14" t="s">
        <v>1274</v>
      </c>
      <c r="F473" s="15" t="str">
        <f>CONCATENATE(Tabla1[[#This Row],[NOMBRE_MPIO]]," (",Tabla1[[#This Row],[NOMBRE_DEPTO]],")")</f>
        <v>LA GUADALUPE (GUAINIA)</v>
      </c>
      <c r="G473" s="19" t="s">
        <v>1274</v>
      </c>
    </row>
    <row r="474" spans="1:7" x14ac:dyDescent="0.15">
      <c r="A474" s="19">
        <v>20</v>
      </c>
      <c r="B474" s="14" t="s">
        <v>51</v>
      </c>
      <c r="C474" s="14" t="s">
        <v>337</v>
      </c>
      <c r="D474" s="14" t="s">
        <v>1275</v>
      </c>
      <c r="E474" s="14" t="s">
        <v>1276</v>
      </c>
      <c r="F474" s="15" t="str">
        <f>CONCATENATE(Tabla1[[#This Row],[NOMBRE_MPIO]]," (",Tabla1[[#This Row],[NOMBRE_DEPTO]],")")</f>
        <v>LA JAGUA DE IBIRICO (CESAR)</v>
      </c>
      <c r="G474" s="19" t="s">
        <v>1276</v>
      </c>
    </row>
    <row r="475" spans="1:7" x14ac:dyDescent="0.15">
      <c r="A475" s="19">
        <v>44</v>
      </c>
      <c r="B475" s="14" t="s">
        <v>87</v>
      </c>
      <c r="D475" s="14" t="s">
        <v>1277</v>
      </c>
      <c r="E475" s="14" t="s">
        <v>1278</v>
      </c>
      <c r="F475" s="15" t="str">
        <f>CONCATENATE(Tabla1[[#This Row],[NOMBRE_MPIO]]," (",Tabla1[[#This Row],[NOMBRE_DEPTO]],")")</f>
        <v>LA JAGUA DEL PILAR (LA GUAJIRA)</v>
      </c>
      <c r="G475" s="19" t="s">
        <v>1278</v>
      </c>
    </row>
    <row r="476" spans="1:7" x14ac:dyDescent="0.15">
      <c r="A476" s="19">
        <v>52</v>
      </c>
      <c r="B476" s="14" t="s">
        <v>80</v>
      </c>
      <c r="D476" s="14" t="s">
        <v>1279</v>
      </c>
      <c r="E476" s="14" t="s">
        <v>1280</v>
      </c>
      <c r="F476" s="15" t="str">
        <f>CONCATENATE(Tabla1[[#This Row],[NOMBRE_MPIO]]," (",Tabla1[[#This Row],[NOMBRE_DEPTO]],")")</f>
        <v>LA LLANADA (NARIÑO)</v>
      </c>
      <c r="G476" s="19" t="s">
        <v>1280</v>
      </c>
    </row>
    <row r="477" spans="1:7" x14ac:dyDescent="0.15">
      <c r="A477" s="19">
        <v>50</v>
      </c>
      <c r="B477" s="14" t="s">
        <v>22</v>
      </c>
      <c r="D477" s="14" t="s">
        <v>1281</v>
      </c>
      <c r="E477" s="14" t="s">
        <v>1282</v>
      </c>
      <c r="F477" s="15" t="str">
        <f>CONCATENATE(Tabla1[[#This Row],[NOMBRE_MPIO]]," (",Tabla1[[#This Row],[NOMBRE_DEPTO]],")")</f>
        <v>LA MACARENA (META)</v>
      </c>
      <c r="G477" s="19" t="s">
        <v>1282</v>
      </c>
    </row>
    <row r="478" spans="1:7" x14ac:dyDescent="0.15">
      <c r="A478" s="19">
        <v>17</v>
      </c>
      <c r="B478" s="14" t="s">
        <v>61</v>
      </c>
      <c r="C478" s="14" t="s">
        <v>1013</v>
      </c>
      <c r="D478" s="14" t="s">
        <v>1283</v>
      </c>
      <c r="E478" s="14" t="s">
        <v>1284</v>
      </c>
      <c r="F478" s="15" t="str">
        <f>CONCATENATE(Tabla1[[#This Row],[NOMBRE_MPIO]]," (",Tabla1[[#This Row],[NOMBRE_DEPTO]],")")</f>
        <v>LA MERCED (CALDAS)</v>
      </c>
      <c r="G478" s="19" t="s">
        <v>1284</v>
      </c>
    </row>
    <row r="479" spans="1:7" x14ac:dyDescent="0.15">
      <c r="A479" s="19">
        <v>25</v>
      </c>
      <c r="B479" s="14" t="s">
        <v>46</v>
      </c>
      <c r="D479" s="14" t="s">
        <v>1285</v>
      </c>
      <c r="E479" s="14" t="s">
        <v>1286</v>
      </c>
      <c r="F479" s="15" t="str">
        <f>CONCATENATE(Tabla1[[#This Row],[NOMBRE_MPIO]]," (",Tabla1[[#This Row],[NOMBRE_DEPTO]],")")</f>
        <v>LA MESA (CUNDINAMARCA)</v>
      </c>
      <c r="G479" s="19" t="s">
        <v>1286</v>
      </c>
    </row>
    <row r="480" spans="1:7" x14ac:dyDescent="0.15">
      <c r="A480" s="19">
        <v>18</v>
      </c>
      <c r="B480" s="14" t="s">
        <v>84</v>
      </c>
      <c r="C480" s="14" t="s">
        <v>84</v>
      </c>
      <c r="D480" s="14" t="s">
        <v>1287</v>
      </c>
      <c r="E480" s="14" t="s">
        <v>1288</v>
      </c>
      <c r="F480" s="15" t="str">
        <f>CONCATENATE(Tabla1[[#This Row],[NOMBRE_MPIO]]," (",Tabla1[[#This Row],[NOMBRE_DEPTO]],")")</f>
        <v>LA MONTAÑITA (CAQUETA)</v>
      </c>
      <c r="G480" s="19" t="s">
        <v>1288</v>
      </c>
    </row>
    <row r="481" spans="1:7" x14ac:dyDescent="0.15">
      <c r="A481" s="19">
        <v>25</v>
      </c>
      <c r="B481" s="14" t="s">
        <v>46</v>
      </c>
      <c r="D481" s="14" t="s">
        <v>1289</v>
      </c>
      <c r="E481" s="14" t="s">
        <v>1290</v>
      </c>
      <c r="F481" s="15" t="str">
        <f>CONCATENATE(Tabla1[[#This Row],[NOMBRE_MPIO]]," (",Tabla1[[#This Row],[NOMBRE_DEPTO]],")")</f>
        <v>LA PALMA (CUNDINAMARCA)</v>
      </c>
      <c r="G481" s="19" t="s">
        <v>1290</v>
      </c>
    </row>
    <row r="482" spans="1:7" x14ac:dyDescent="0.15">
      <c r="A482" s="19">
        <v>20</v>
      </c>
      <c r="B482" s="14" t="s">
        <v>51</v>
      </c>
      <c r="C482" s="14" t="s">
        <v>62</v>
      </c>
      <c r="D482" s="14" t="s">
        <v>1291</v>
      </c>
      <c r="E482" s="14" t="s">
        <v>1292</v>
      </c>
      <c r="F482" s="15" t="str">
        <f>CONCATENATE(Tabla1[[#This Row],[NOMBRE_MPIO]]," (",Tabla1[[#This Row],[NOMBRE_DEPTO]],")")</f>
        <v>LA PAZ (CESAR)</v>
      </c>
      <c r="G482" s="19" t="s">
        <v>1292</v>
      </c>
    </row>
    <row r="483" spans="1:7" x14ac:dyDescent="0.15">
      <c r="A483" s="19">
        <v>68</v>
      </c>
      <c r="B483" s="14" t="s">
        <v>56</v>
      </c>
      <c r="D483" s="14" t="s">
        <v>1291</v>
      </c>
      <c r="E483" s="14" t="s">
        <v>1293</v>
      </c>
      <c r="F483" s="15" t="str">
        <f>CONCATENATE(Tabla1[[#This Row],[NOMBRE_MPIO]]," (",Tabla1[[#This Row],[NOMBRE_DEPTO]],")")</f>
        <v>LA PAZ (SANTANDER)</v>
      </c>
      <c r="G483" s="19" t="s">
        <v>1293</v>
      </c>
    </row>
    <row r="484" spans="1:7" x14ac:dyDescent="0.15">
      <c r="A484" s="19">
        <v>91</v>
      </c>
      <c r="B484" s="14" t="s">
        <v>950</v>
      </c>
      <c r="C484" s="14" t="s">
        <v>950</v>
      </c>
      <c r="D484" s="14" t="s">
        <v>1294</v>
      </c>
      <c r="E484" s="14" t="s">
        <v>1295</v>
      </c>
      <c r="F484" s="15" t="str">
        <f>CONCATENATE(Tabla1[[#This Row],[NOMBRE_MPIO]]," (",Tabla1[[#This Row],[NOMBRE_DEPTO]],")")</f>
        <v>LA PEDRERA (AMAZONAS)</v>
      </c>
      <c r="G484" s="19" t="s">
        <v>1295</v>
      </c>
    </row>
    <row r="485" spans="1:7" x14ac:dyDescent="0.15">
      <c r="A485" s="19">
        <v>25</v>
      </c>
      <c r="B485" s="14" t="s">
        <v>46</v>
      </c>
      <c r="D485" s="14" t="s">
        <v>1296</v>
      </c>
      <c r="E485" s="14" t="s">
        <v>1297</v>
      </c>
      <c r="F485" s="15" t="str">
        <f>CONCATENATE(Tabla1[[#This Row],[NOMBRE_MPIO]]," (",Tabla1[[#This Row],[NOMBRE_DEPTO]],")")</f>
        <v>LA PEÑA (CUNDINAMARCA)</v>
      </c>
      <c r="G485" s="19" t="s">
        <v>1297</v>
      </c>
    </row>
    <row r="486" spans="1:7" x14ac:dyDescent="0.15">
      <c r="A486" s="19">
        <v>5</v>
      </c>
      <c r="B486" s="14" t="s">
        <v>9</v>
      </c>
      <c r="C486" s="14" t="s">
        <v>137</v>
      </c>
      <c r="D486" s="14" t="s">
        <v>1298</v>
      </c>
      <c r="E486" s="14" t="s">
        <v>1299</v>
      </c>
      <c r="F486" s="15" t="str">
        <f>CONCATENATE(Tabla1[[#This Row],[NOMBRE_MPIO]]," (",Tabla1[[#This Row],[NOMBRE_DEPTO]],")")</f>
        <v>LA PINTADA (ANTIOQUIA)</v>
      </c>
      <c r="G486" s="19" t="s">
        <v>1299</v>
      </c>
    </row>
    <row r="487" spans="1:7" x14ac:dyDescent="0.15">
      <c r="A487" s="19">
        <v>41</v>
      </c>
      <c r="B487" s="14" t="s">
        <v>32</v>
      </c>
      <c r="D487" s="14" t="s">
        <v>1300</v>
      </c>
      <c r="E487" s="14" t="s">
        <v>1301</v>
      </c>
      <c r="F487" s="15" t="str">
        <f>CONCATENATE(Tabla1[[#This Row],[NOMBRE_MPIO]]," (",Tabla1[[#This Row],[NOMBRE_DEPTO]],")")</f>
        <v>LA PLATA (HUILA)</v>
      </c>
      <c r="G487" s="19" t="s">
        <v>1301</v>
      </c>
    </row>
    <row r="488" spans="1:7" x14ac:dyDescent="0.15">
      <c r="A488" s="19">
        <v>54</v>
      </c>
      <c r="B488" s="14" t="s">
        <v>14</v>
      </c>
      <c r="D488" s="14" t="s">
        <v>1302</v>
      </c>
      <c r="E488" s="14" t="s">
        <v>1303</v>
      </c>
      <c r="F488" s="15" t="str">
        <f>CONCATENATE(Tabla1[[#This Row],[NOMBRE_MPIO]]," (",Tabla1[[#This Row],[NOMBRE_DEPTO]],")")</f>
        <v>LA PLAYA (NORTE DE SANTANDER)</v>
      </c>
      <c r="G488" s="19" t="s">
        <v>1303</v>
      </c>
    </row>
    <row r="489" spans="1:7" x14ac:dyDescent="0.15">
      <c r="A489" s="19">
        <v>99</v>
      </c>
      <c r="B489" s="14" t="s">
        <v>879</v>
      </c>
      <c r="D489" s="14" t="s">
        <v>1304</v>
      </c>
      <c r="E489" s="14" t="s">
        <v>1305</v>
      </c>
      <c r="F489" s="15" t="str">
        <f>CONCATENATE(Tabla1[[#This Row],[NOMBRE_MPIO]]," (",Tabla1[[#This Row],[NOMBRE_DEPTO]],")")</f>
        <v>LA PRIMAVERA (VICHADA)</v>
      </c>
      <c r="G489" s="19" t="s">
        <v>1305</v>
      </c>
    </row>
    <row r="490" spans="1:7" x14ac:dyDescent="0.15">
      <c r="A490" s="19">
        <v>85</v>
      </c>
      <c r="B490" s="14" t="s">
        <v>66</v>
      </c>
      <c r="C490" s="14" t="s">
        <v>66</v>
      </c>
      <c r="D490" s="14" t="s">
        <v>1306</v>
      </c>
      <c r="E490" s="14" t="s">
        <v>1307</v>
      </c>
      <c r="F490" s="15" t="str">
        <f>CONCATENATE(Tabla1[[#This Row],[NOMBRE_MPIO]]," (",Tabla1[[#This Row],[NOMBRE_DEPTO]],")")</f>
        <v>LA SALINA (CASANARE)</v>
      </c>
      <c r="G490" s="19" t="s">
        <v>1307</v>
      </c>
    </row>
    <row r="491" spans="1:7" x14ac:dyDescent="0.15">
      <c r="A491" s="19">
        <v>19</v>
      </c>
      <c r="B491" s="14" t="s">
        <v>109</v>
      </c>
      <c r="C491" s="14" t="s">
        <v>42</v>
      </c>
      <c r="D491" s="14" t="s">
        <v>1308</v>
      </c>
      <c r="E491" s="14" t="s">
        <v>1309</v>
      </c>
      <c r="F491" s="15" t="str">
        <f>CONCATENATE(Tabla1[[#This Row],[NOMBRE_MPIO]]," (",Tabla1[[#This Row],[NOMBRE_DEPTO]],")")</f>
        <v>LA SIERRA (CAUCA)</v>
      </c>
      <c r="G491" s="19" t="s">
        <v>1309</v>
      </c>
    </row>
    <row r="492" spans="1:7" x14ac:dyDescent="0.15">
      <c r="A492" s="19">
        <v>63</v>
      </c>
      <c r="B492" s="14" t="s">
        <v>256</v>
      </c>
      <c r="C492" s="14" t="s">
        <v>1310</v>
      </c>
      <c r="D492" s="14" t="s">
        <v>1311</v>
      </c>
      <c r="E492" s="14" t="s">
        <v>1312</v>
      </c>
      <c r="F492" s="15" t="str">
        <f>CONCATENATE(Tabla1[[#This Row],[NOMBRE_MPIO]]," (",Tabla1[[#This Row],[NOMBRE_DEPTO]],")")</f>
        <v>LA TEBAIDA (QUINDIO)</v>
      </c>
      <c r="G492" s="19" t="s">
        <v>1312</v>
      </c>
    </row>
    <row r="493" spans="1:7" x14ac:dyDescent="0.15">
      <c r="A493" s="19">
        <v>52</v>
      </c>
      <c r="B493" s="14" t="s">
        <v>80</v>
      </c>
      <c r="D493" s="14" t="s">
        <v>1313</v>
      </c>
      <c r="E493" s="14" t="s">
        <v>1314</v>
      </c>
      <c r="F493" s="15" t="str">
        <f>CONCATENATE(Tabla1[[#This Row],[NOMBRE_MPIO]]," (",Tabla1[[#This Row],[NOMBRE_DEPTO]],")")</f>
        <v>LA TOLA (NARIÑO)</v>
      </c>
      <c r="G493" s="19" t="s">
        <v>1314</v>
      </c>
    </row>
    <row r="494" spans="1:7" x14ac:dyDescent="0.15">
      <c r="A494" s="19">
        <v>5</v>
      </c>
      <c r="B494" s="14" t="s">
        <v>9</v>
      </c>
      <c r="C494" s="14" t="s">
        <v>10</v>
      </c>
      <c r="D494" s="14" t="s">
        <v>1315</v>
      </c>
      <c r="E494" s="14" t="s">
        <v>1316</v>
      </c>
      <c r="F494" s="15" t="str">
        <f>CONCATENATE(Tabla1[[#This Row],[NOMBRE_MPIO]]," (",Tabla1[[#This Row],[NOMBRE_DEPTO]],")")</f>
        <v>LA UNIÓN (ANTIOQUIA)</v>
      </c>
      <c r="G494" s="19" t="s">
        <v>1316</v>
      </c>
    </row>
    <row r="495" spans="1:7" x14ac:dyDescent="0.15">
      <c r="A495" s="19">
        <v>52</v>
      </c>
      <c r="B495" s="14" t="s">
        <v>80</v>
      </c>
      <c r="D495" s="14" t="s">
        <v>1317</v>
      </c>
      <c r="E495" s="14" t="s">
        <v>1318</v>
      </c>
      <c r="F495" s="15" t="str">
        <f>CONCATENATE(Tabla1[[#This Row],[NOMBRE_MPIO]]," (",Tabla1[[#This Row],[NOMBRE_DEPTO]],")")</f>
        <v>LA UNION (NARIÑO)</v>
      </c>
      <c r="G495" s="19" t="s">
        <v>1318</v>
      </c>
    </row>
    <row r="496" spans="1:7" x14ac:dyDescent="0.15">
      <c r="A496" s="19">
        <v>70</v>
      </c>
      <c r="B496" s="14" t="s">
        <v>443</v>
      </c>
      <c r="D496" s="14" t="s">
        <v>1315</v>
      </c>
      <c r="E496" s="14" t="s">
        <v>1319</v>
      </c>
      <c r="F496" s="15" t="str">
        <f>CONCATENATE(Tabla1[[#This Row],[NOMBRE_MPIO]]," (",Tabla1[[#This Row],[NOMBRE_DEPTO]],")")</f>
        <v>LA UNIÓN (SUCRE)</v>
      </c>
      <c r="G496" s="19" t="s">
        <v>1319</v>
      </c>
    </row>
    <row r="497" spans="1:7" x14ac:dyDescent="0.15">
      <c r="A497" s="19">
        <v>76</v>
      </c>
      <c r="B497" s="14" t="s">
        <v>92</v>
      </c>
      <c r="D497" s="14" t="s">
        <v>1315</v>
      </c>
      <c r="E497" s="14" t="s">
        <v>1320</v>
      </c>
      <c r="F497" s="15" t="str">
        <f>CONCATENATE(Tabla1[[#This Row],[NOMBRE_MPIO]]," (",Tabla1[[#This Row],[NOMBRE_DEPTO]],")")</f>
        <v>LA UNIÓN (VALLE DEL CAUCA)</v>
      </c>
      <c r="G497" s="19" t="s">
        <v>1320</v>
      </c>
    </row>
    <row r="498" spans="1:7" x14ac:dyDescent="0.15">
      <c r="A498" s="19">
        <v>50</v>
      </c>
      <c r="B498" s="14" t="s">
        <v>22</v>
      </c>
      <c r="D498" s="14" t="s">
        <v>1321</v>
      </c>
      <c r="E498" s="14" t="s">
        <v>1322</v>
      </c>
      <c r="F498" s="15" t="str">
        <f>CONCATENATE(Tabla1[[#This Row],[NOMBRE_MPIO]]," (",Tabla1[[#This Row],[NOMBRE_DEPTO]],")")</f>
        <v>LA URIBE (META)</v>
      </c>
      <c r="G498" s="19" t="s">
        <v>1322</v>
      </c>
    </row>
    <row r="499" spans="1:7" x14ac:dyDescent="0.15">
      <c r="A499" s="19">
        <v>15</v>
      </c>
      <c r="B499" s="14" t="s">
        <v>113</v>
      </c>
      <c r="C499" s="14" t="s">
        <v>62</v>
      </c>
      <c r="D499" s="14" t="s">
        <v>1323</v>
      </c>
      <c r="E499" s="14" t="s">
        <v>1324</v>
      </c>
      <c r="F499" s="15" t="str">
        <f>CONCATENATE(Tabla1[[#This Row],[NOMBRE_MPIO]]," (",Tabla1[[#This Row],[NOMBRE_DEPTO]],")")</f>
        <v>LA UVITA (BOYACÁ)</v>
      </c>
      <c r="G499" s="19" t="s">
        <v>1324</v>
      </c>
    </row>
    <row r="500" spans="1:7" x14ac:dyDescent="0.15">
      <c r="A500" s="19">
        <v>19</v>
      </c>
      <c r="B500" s="14" t="s">
        <v>109</v>
      </c>
      <c r="C500" s="14" t="s">
        <v>52</v>
      </c>
      <c r="D500" s="14" t="s">
        <v>1325</v>
      </c>
      <c r="E500" s="14" t="s">
        <v>1326</v>
      </c>
      <c r="F500" s="15" t="str">
        <f>CONCATENATE(Tabla1[[#This Row],[NOMBRE_MPIO]]," (",Tabla1[[#This Row],[NOMBRE_DEPTO]],")")</f>
        <v>LA VEGA (CAUCA)</v>
      </c>
      <c r="G500" s="19" t="s">
        <v>1326</v>
      </c>
    </row>
    <row r="501" spans="1:7" x14ac:dyDescent="0.15">
      <c r="A501" s="19">
        <v>25</v>
      </c>
      <c r="B501" s="14" t="s">
        <v>46</v>
      </c>
      <c r="D501" s="14" t="s">
        <v>1325</v>
      </c>
      <c r="E501" s="14" t="s">
        <v>1327</v>
      </c>
      <c r="F501" s="15" t="str">
        <f>CONCATENATE(Tabla1[[#This Row],[NOMBRE_MPIO]]," (",Tabla1[[#This Row],[NOMBRE_DEPTO]],")")</f>
        <v>LA VEGA (CUNDINAMARCA)</v>
      </c>
      <c r="G501" s="19" t="s">
        <v>1327</v>
      </c>
    </row>
    <row r="502" spans="1:7" x14ac:dyDescent="0.15">
      <c r="A502" s="19">
        <v>91</v>
      </c>
      <c r="B502" s="14" t="s">
        <v>950</v>
      </c>
      <c r="C502" s="14" t="s">
        <v>950</v>
      </c>
      <c r="D502" s="14" t="s">
        <v>1328</v>
      </c>
      <c r="E502" s="14" t="s">
        <v>1329</v>
      </c>
      <c r="F502" s="15" t="str">
        <f>CONCATENATE(Tabla1[[#This Row],[NOMBRE_MPIO]]," (",Tabla1[[#This Row],[NOMBRE_DEPTO]],")")</f>
        <v>LA VICTORIA (AMAZONAS)</v>
      </c>
      <c r="G502" s="19" t="s">
        <v>1329</v>
      </c>
    </row>
    <row r="503" spans="1:7" x14ac:dyDescent="0.15">
      <c r="A503" s="19">
        <v>15</v>
      </c>
      <c r="B503" s="14" t="s">
        <v>113</v>
      </c>
      <c r="C503" s="14" t="s">
        <v>15</v>
      </c>
      <c r="D503" s="14" t="s">
        <v>1328</v>
      </c>
      <c r="E503" s="14" t="s">
        <v>1330</v>
      </c>
      <c r="F503" s="15" t="str">
        <f>CONCATENATE(Tabla1[[#This Row],[NOMBRE_MPIO]]," (",Tabla1[[#This Row],[NOMBRE_DEPTO]],")")</f>
        <v>LA VICTORIA (BOYACÁ)</v>
      </c>
      <c r="G503" s="19" t="s">
        <v>1330</v>
      </c>
    </row>
    <row r="504" spans="1:7" x14ac:dyDescent="0.15">
      <c r="A504" s="19">
        <v>76</v>
      </c>
      <c r="B504" s="14" t="s">
        <v>92</v>
      </c>
      <c r="D504" s="14" t="s">
        <v>1328</v>
      </c>
      <c r="E504" s="14" t="s">
        <v>1331</v>
      </c>
      <c r="F504" s="15" t="str">
        <f>CONCATENATE(Tabla1[[#This Row],[NOMBRE_MPIO]]," (",Tabla1[[#This Row],[NOMBRE_DEPTO]],")")</f>
        <v>LA VICTORIA (VALLE DEL CAUCA)</v>
      </c>
      <c r="G504" s="19" t="s">
        <v>1331</v>
      </c>
    </row>
    <row r="505" spans="1:7" x14ac:dyDescent="0.15">
      <c r="A505" s="19">
        <v>66</v>
      </c>
      <c r="B505" s="14" t="s">
        <v>191</v>
      </c>
      <c r="D505" s="14" t="s">
        <v>1332</v>
      </c>
      <c r="E505" s="14" t="s">
        <v>1333</v>
      </c>
      <c r="F505" s="15" t="str">
        <f>CONCATENATE(Tabla1[[#This Row],[NOMBRE_MPIO]]," (",Tabla1[[#This Row],[NOMBRE_DEPTO]],")")</f>
        <v>LA VIRGINIA (RISARALDA)</v>
      </c>
      <c r="G505" s="19" t="s">
        <v>1333</v>
      </c>
    </row>
    <row r="506" spans="1:7" x14ac:dyDescent="0.15">
      <c r="A506" s="19">
        <v>54</v>
      </c>
      <c r="B506" s="14" t="s">
        <v>14</v>
      </c>
      <c r="D506" s="14" t="s">
        <v>1334</v>
      </c>
      <c r="E506" s="14" t="s">
        <v>1335</v>
      </c>
      <c r="F506" s="15" t="str">
        <f>CONCATENATE(Tabla1[[#This Row],[NOMBRE_MPIO]]," (",Tabla1[[#This Row],[NOMBRE_DEPTO]],")")</f>
        <v>LABATECA (NORTE DE SANTANDER)</v>
      </c>
      <c r="G506" s="19" t="s">
        <v>1335</v>
      </c>
    </row>
    <row r="507" spans="1:7" x14ac:dyDescent="0.15">
      <c r="A507" s="19">
        <v>15</v>
      </c>
      <c r="B507" s="14" t="s">
        <v>113</v>
      </c>
      <c r="C507" s="14" t="s">
        <v>1336</v>
      </c>
      <c r="D507" s="14" t="s">
        <v>1337</v>
      </c>
      <c r="E507" s="14" t="s">
        <v>1338</v>
      </c>
      <c r="F507" s="15" t="str">
        <f>CONCATENATE(Tabla1[[#This Row],[NOMBRE_MPIO]]," (",Tabla1[[#This Row],[NOMBRE_DEPTO]],")")</f>
        <v>LABRANZAGRANDE (BOYACÁ)</v>
      </c>
      <c r="G507" s="19" t="s">
        <v>1338</v>
      </c>
    </row>
    <row r="508" spans="1:7" x14ac:dyDescent="0.15">
      <c r="A508" s="19">
        <v>68</v>
      </c>
      <c r="B508" s="14" t="s">
        <v>56</v>
      </c>
      <c r="D508" s="14" t="s">
        <v>1339</v>
      </c>
      <c r="E508" s="14" t="s">
        <v>1340</v>
      </c>
      <c r="F508" s="15" t="str">
        <f>CONCATENATE(Tabla1[[#This Row],[NOMBRE_MPIO]]," (",Tabla1[[#This Row],[NOMBRE_DEPTO]],")")</f>
        <v>LANDÁZURI (SANTANDER)</v>
      </c>
      <c r="G508" s="19" t="s">
        <v>1340</v>
      </c>
    </row>
    <row r="509" spans="1:7" x14ac:dyDescent="0.15">
      <c r="A509" s="19">
        <v>68</v>
      </c>
      <c r="B509" s="14" t="s">
        <v>56</v>
      </c>
      <c r="D509" s="14" t="s">
        <v>1341</v>
      </c>
      <c r="E509" s="14" t="s">
        <v>1342</v>
      </c>
      <c r="F509" s="15" t="str">
        <f>CONCATENATE(Tabla1[[#This Row],[NOMBRE_MPIO]]," (",Tabla1[[#This Row],[NOMBRE_DEPTO]],")")</f>
        <v>LEBRÍJA (SANTANDER)</v>
      </c>
      <c r="G509" s="19" t="s">
        <v>1342</v>
      </c>
    </row>
    <row r="510" spans="1:7" x14ac:dyDescent="0.15">
      <c r="A510" s="19">
        <v>52</v>
      </c>
      <c r="B510" s="14" t="s">
        <v>80</v>
      </c>
      <c r="D510" s="14" t="s">
        <v>1343</v>
      </c>
      <c r="E510" s="14" t="s">
        <v>1344</v>
      </c>
      <c r="F510" s="15" t="str">
        <f>CONCATENATE(Tabla1[[#This Row],[NOMBRE_MPIO]]," (",Tabla1[[#This Row],[NOMBRE_DEPTO]],")")</f>
        <v>LEIVA (NARIÑO)</v>
      </c>
      <c r="G510" s="19" t="s">
        <v>1344</v>
      </c>
    </row>
    <row r="511" spans="1:7" x14ac:dyDescent="0.15">
      <c r="A511" s="19">
        <v>50</v>
      </c>
      <c r="B511" s="14" t="s">
        <v>22</v>
      </c>
      <c r="D511" s="14" t="s">
        <v>1345</v>
      </c>
      <c r="E511" s="14" t="s">
        <v>1346</v>
      </c>
      <c r="F511" s="15" t="str">
        <f>CONCATENATE(Tabla1[[#This Row],[NOMBRE_MPIO]]," (",Tabla1[[#This Row],[NOMBRE_DEPTO]],")")</f>
        <v>LEJANÍAS (META)</v>
      </c>
      <c r="G511" s="19" t="s">
        <v>1346</v>
      </c>
    </row>
    <row r="512" spans="1:7" x14ac:dyDescent="0.15">
      <c r="A512" s="19">
        <v>25</v>
      </c>
      <c r="B512" s="14" t="s">
        <v>46</v>
      </c>
      <c r="D512" s="14" t="s">
        <v>1347</v>
      </c>
      <c r="E512" s="14" t="s">
        <v>1348</v>
      </c>
      <c r="F512" s="15" t="str">
        <f>CONCATENATE(Tabla1[[#This Row],[NOMBRE_MPIO]]," (",Tabla1[[#This Row],[NOMBRE_DEPTO]],")")</f>
        <v>LENGUAZAQUE (CUNDINAMARCA)</v>
      </c>
      <c r="G512" s="19" t="s">
        <v>1348</v>
      </c>
    </row>
    <row r="513" spans="1:7" x14ac:dyDescent="0.15">
      <c r="A513" s="19">
        <v>73</v>
      </c>
      <c r="B513" s="14" t="s">
        <v>117</v>
      </c>
      <c r="D513" s="14" t="s">
        <v>1349</v>
      </c>
      <c r="E513" s="14" t="s">
        <v>1350</v>
      </c>
      <c r="F513" s="15" t="str">
        <f>CONCATENATE(Tabla1[[#This Row],[NOMBRE_MPIO]]," (",Tabla1[[#This Row],[NOMBRE_DEPTO]],")")</f>
        <v>LeRIDA (TOLIMA)</v>
      </c>
      <c r="G513" s="19" t="s">
        <v>1350</v>
      </c>
    </row>
    <row r="514" spans="1:7" x14ac:dyDescent="0.15">
      <c r="A514" s="19">
        <v>91</v>
      </c>
      <c r="B514" s="14" t="s">
        <v>950</v>
      </c>
      <c r="C514" s="14" t="s">
        <v>950</v>
      </c>
      <c r="D514" s="14" t="s">
        <v>1351</v>
      </c>
      <c r="E514" s="14" t="s">
        <v>1352</v>
      </c>
      <c r="F514" s="15" t="str">
        <f>CONCATENATE(Tabla1[[#This Row],[NOMBRE_MPIO]]," (",Tabla1[[#This Row],[NOMBRE_DEPTO]],")")</f>
        <v>LETICIA (AMAZONAS)</v>
      </c>
      <c r="G514" s="19" t="s">
        <v>1352</v>
      </c>
    </row>
    <row r="515" spans="1:7" x14ac:dyDescent="0.15">
      <c r="A515" s="19">
        <v>73</v>
      </c>
      <c r="B515" s="14" t="s">
        <v>117</v>
      </c>
      <c r="D515" s="14" t="s">
        <v>1353</v>
      </c>
      <c r="E515" s="14" t="s">
        <v>1354</v>
      </c>
      <c r="F515" s="15" t="str">
        <f>CONCATENATE(Tabla1[[#This Row],[NOMBRE_MPIO]]," (",Tabla1[[#This Row],[NOMBRE_DEPTO]],")")</f>
        <v>LiBANO (TOLIMA)</v>
      </c>
      <c r="G515" s="19" t="s">
        <v>1354</v>
      </c>
    </row>
    <row r="516" spans="1:7" x14ac:dyDescent="0.15">
      <c r="A516" s="19">
        <v>5</v>
      </c>
      <c r="B516" s="14" t="s">
        <v>9</v>
      </c>
      <c r="C516" s="14" t="s">
        <v>15</v>
      </c>
      <c r="D516" s="14" t="s">
        <v>1355</v>
      </c>
      <c r="E516" s="14" t="s">
        <v>1356</v>
      </c>
      <c r="F516" s="15" t="str">
        <f>CONCATENATE(Tabla1[[#This Row],[NOMBRE_MPIO]]," (",Tabla1[[#This Row],[NOMBRE_DEPTO]],")")</f>
        <v>LIBORINA (ANTIOQUIA)</v>
      </c>
      <c r="G516" s="19" t="s">
        <v>1356</v>
      </c>
    </row>
    <row r="517" spans="1:7" x14ac:dyDescent="0.15">
      <c r="A517" s="19">
        <v>52</v>
      </c>
      <c r="B517" s="14" t="s">
        <v>80</v>
      </c>
      <c r="D517" s="14" t="s">
        <v>1357</v>
      </c>
      <c r="E517" s="14" t="s">
        <v>1358</v>
      </c>
      <c r="F517" s="15" t="str">
        <f>CONCATENATE(Tabla1[[#This Row],[NOMBRE_MPIO]]," (",Tabla1[[#This Row],[NOMBRE_DEPTO]],")")</f>
        <v>LINARES (NARIÑO)</v>
      </c>
      <c r="G517" s="19" t="s">
        <v>1358</v>
      </c>
    </row>
    <row r="518" spans="1:7" x14ac:dyDescent="0.15">
      <c r="A518" s="19">
        <v>27</v>
      </c>
      <c r="B518" s="14" t="s">
        <v>27</v>
      </c>
      <c r="C518" s="14" t="s">
        <v>273</v>
      </c>
      <c r="D518" s="14" t="s">
        <v>1359</v>
      </c>
      <c r="E518" s="14" t="s">
        <v>1360</v>
      </c>
      <c r="F518" s="15" t="str">
        <f>CONCATENATE(Tabla1[[#This Row],[NOMBRE_MPIO]]," (",Tabla1[[#This Row],[NOMBRE_DEPTO]],")")</f>
        <v>LLORÓ (CHOCO)</v>
      </c>
      <c r="G518" s="19" t="s">
        <v>1360</v>
      </c>
    </row>
    <row r="519" spans="1:7" x14ac:dyDescent="0.15">
      <c r="A519" s="19">
        <v>19</v>
      </c>
      <c r="B519" s="14" t="s">
        <v>109</v>
      </c>
      <c r="C519" s="14" t="s">
        <v>15</v>
      </c>
      <c r="D519" s="14" t="s">
        <v>1361</v>
      </c>
      <c r="E519" s="14" t="s">
        <v>1362</v>
      </c>
      <c r="F519" s="15" t="str">
        <f>CONCATENATE(Tabla1[[#This Row],[NOMBRE_MPIO]]," (",Tabla1[[#This Row],[NOMBRE_DEPTO]],")")</f>
        <v>LOPEZ (CAUCA)</v>
      </c>
      <c r="G519" s="19" t="s">
        <v>1362</v>
      </c>
    </row>
    <row r="520" spans="1:7" x14ac:dyDescent="0.15">
      <c r="A520" s="19">
        <v>23</v>
      </c>
      <c r="B520" s="14" t="s">
        <v>276</v>
      </c>
      <c r="D520" s="14" t="s">
        <v>1363</v>
      </c>
      <c r="E520" s="14" t="s">
        <v>1364</v>
      </c>
      <c r="F520" s="15" t="str">
        <f>CONCATENATE(Tabla1[[#This Row],[NOMBRE_MPIO]]," (",Tabla1[[#This Row],[NOMBRE_DEPTO]],")")</f>
        <v>LORICA (CORDOBA)</v>
      </c>
      <c r="G520" s="19" t="s">
        <v>1364</v>
      </c>
    </row>
    <row r="521" spans="1:7" x14ac:dyDescent="0.15">
      <c r="A521" s="19">
        <v>52</v>
      </c>
      <c r="B521" s="14" t="s">
        <v>80</v>
      </c>
      <c r="D521" s="14" t="s">
        <v>1365</v>
      </c>
      <c r="E521" s="14" t="s">
        <v>1366</v>
      </c>
      <c r="F521" s="15" t="str">
        <f>CONCATENATE(Tabla1[[#This Row],[NOMBRE_MPIO]]," (",Tabla1[[#This Row],[NOMBRE_DEPTO]],")")</f>
        <v>LOS ANDES (NARIÑO)</v>
      </c>
      <c r="G521" s="19" t="s">
        <v>1366</v>
      </c>
    </row>
    <row r="522" spans="1:7" x14ac:dyDescent="0.15">
      <c r="A522" s="19">
        <v>23</v>
      </c>
      <c r="B522" s="14" t="s">
        <v>276</v>
      </c>
      <c r="D522" s="14" t="s">
        <v>1367</v>
      </c>
      <c r="E522" s="14" t="s">
        <v>1368</v>
      </c>
      <c r="F522" s="15" t="str">
        <f>CONCATENATE(Tabla1[[#This Row],[NOMBRE_MPIO]]," (",Tabla1[[#This Row],[NOMBRE_DEPTO]],")")</f>
        <v>LOS CÓRDOBAS (CORDOBA)</v>
      </c>
      <c r="G522" s="19" t="s">
        <v>1368</v>
      </c>
    </row>
    <row r="523" spans="1:7" x14ac:dyDescent="0.15">
      <c r="A523" s="19">
        <v>70</v>
      </c>
      <c r="B523" s="14" t="s">
        <v>443</v>
      </c>
      <c r="D523" s="14" t="s">
        <v>1369</v>
      </c>
      <c r="E523" s="14" t="s">
        <v>1370</v>
      </c>
      <c r="F523" s="15" t="str">
        <f>CONCATENATE(Tabla1[[#This Row],[NOMBRE_MPIO]]," (",Tabla1[[#This Row],[NOMBRE_DEPTO]],")")</f>
        <v>LOS PALMITOS (SUCRE)</v>
      </c>
      <c r="G523" s="19" t="s">
        <v>1370</v>
      </c>
    </row>
    <row r="524" spans="1:7" x14ac:dyDescent="0.15">
      <c r="A524" s="19">
        <v>54</v>
      </c>
      <c r="B524" s="14" t="s">
        <v>14</v>
      </c>
      <c r="D524" s="14" t="s">
        <v>1371</v>
      </c>
      <c r="E524" s="14" t="s">
        <v>1372</v>
      </c>
      <c r="F524" s="15" t="str">
        <f>CONCATENATE(Tabla1[[#This Row],[NOMBRE_MPIO]]," (",Tabla1[[#This Row],[NOMBRE_DEPTO]],")")</f>
        <v>LOS PATIOS (NORTE DE SANTANDER)</v>
      </c>
      <c r="G524" s="19" t="s">
        <v>1372</v>
      </c>
    </row>
    <row r="525" spans="1:7" x14ac:dyDescent="0.15">
      <c r="A525" s="19">
        <v>68</v>
      </c>
      <c r="B525" s="14" t="s">
        <v>56</v>
      </c>
      <c r="D525" s="14" t="s">
        <v>1373</v>
      </c>
      <c r="E525" s="14" t="s">
        <v>1374</v>
      </c>
      <c r="F525" s="15" t="str">
        <f>CONCATENATE(Tabla1[[#This Row],[NOMBRE_MPIO]]," (",Tabla1[[#This Row],[NOMBRE_DEPTO]],")")</f>
        <v>LOS SANTOS (SANTANDER)</v>
      </c>
      <c r="G525" s="19" t="s">
        <v>1374</v>
      </c>
    </row>
    <row r="526" spans="1:7" x14ac:dyDescent="0.15">
      <c r="A526" s="19">
        <v>54</v>
      </c>
      <c r="B526" s="14" t="s">
        <v>14</v>
      </c>
      <c r="D526" s="14" t="s">
        <v>1375</v>
      </c>
      <c r="E526" s="14" t="s">
        <v>1376</v>
      </c>
      <c r="F526" s="15" t="str">
        <f>CONCATENATE(Tabla1[[#This Row],[NOMBRE_MPIO]]," (",Tabla1[[#This Row],[NOMBRE_DEPTO]],")")</f>
        <v>LOURDES (NORTE DE SANTANDER)</v>
      </c>
      <c r="G526" s="19" t="s">
        <v>1376</v>
      </c>
    </row>
    <row r="527" spans="1:7" x14ac:dyDescent="0.15">
      <c r="A527" s="19">
        <v>8</v>
      </c>
      <c r="B527" s="14" t="s">
        <v>296</v>
      </c>
      <c r="C527" s="14" t="s">
        <v>33</v>
      </c>
      <c r="D527" s="14" t="s">
        <v>1377</v>
      </c>
      <c r="E527" s="14" t="s">
        <v>1378</v>
      </c>
      <c r="F527" s="15" t="str">
        <f>CONCATENATE(Tabla1[[#This Row],[NOMBRE_MPIO]]," (",Tabla1[[#This Row],[NOMBRE_DEPTO]],")")</f>
        <v>LURUACO (ATLÁNTICO)</v>
      </c>
      <c r="G527" s="19" t="s">
        <v>1378</v>
      </c>
    </row>
    <row r="528" spans="1:7" x14ac:dyDescent="0.15">
      <c r="A528" s="19">
        <v>15</v>
      </c>
      <c r="B528" s="14" t="s">
        <v>113</v>
      </c>
      <c r="C528" s="14" t="s">
        <v>700</v>
      </c>
      <c r="D528" s="14" t="s">
        <v>1379</v>
      </c>
      <c r="E528" s="14" t="s">
        <v>1380</v>
      </c>
      <c r="F528" s="15" t="str">
        <f>CONCATENATE(Tabla1[[#This Row],[NOMBRE_MPIO]]," (",Tabla1[[#This Row],[NOMBRE_DEPTO]],")")</f>
        <v>MACANAL (BOYACÁ)</v>
      </c>
      <c r="G528" s="19" t="s">
        <v>1380</v>
      </c>
    </row>
    <row r="529" spans="1:7" x14ac:dyDescent="0.15">
      <c r="A529" s="19">
        <v>68</v>
      </c>
      <c r="B529" s="14" t="s">
        <v>56</v>
      </c>
      <c r="D529" s="14" t="s">
        <v>1381</v>
      </c>
      <c r="E529" s="14" t="s">
        <v>1382</v>
      </c>
      <c r="F529" s="15" t="str">
        <f>CONCATENATE(Tabla1[[#This Row],[NOMBRE_MPIO]]," (",Tabla1[[#This Row],[NOMBRE_DEPTO]],")")</f>
        <v>MACARAVITA (SANTANDER)</v>
      </c>
      <c r="G529" s="19" t="s">
        <v>1382</v>
      </c>
    </row>
    <row r="530" spans="1:7" x14ac:dyDescent="0.15">
      <c r="A530" s="19">
        <v>5</v>
      </c>
      <c r="B530" s="14" t="s">
        <v>9</v>
      </c>
      <c r="C530" s="14" t="s">
        <v>580</v>
      </c>
      <c r="D530" s="14" t="s">
        <v>1383</v>
      </c>
      <c r="E530" s="14" t="s">
        <v>1384</v>
      </c>
      <c r="F530" s="15" t="str">
        <f>CONCATENATE(Tabla1[[#This Row],[NOMBRE_MPIO]]," (",Tabla1[[#This Row],[NOMBRE_DEPTO]],")")</f>
        <v>MACEO (ANTIOQUIA)</v>
      </c>
      <c r="G530" s="19" t="s">
        <v>1384</v>
      </c>
    </row>
    <row r="531" spans="1:7" x14ac:dyDescent="0.15">
      <c r="A531" s="19">
        <v>25</v>
      </c>
      <c r="B531" s="14" t="s">
        <v>46</v>
      </c>
      <c r="D531" s="14" t="s">
        <v>1385</v>
      </c>
      <c r="E531" s="14" t="s">
        <v>1386</v>
      </c>
      <c r="F531" s="15" t="str">
        <f>CONCATENATE(Tabla1[[#This Row],[NOMBRE_MPIO]]," (",Tabla1[[#This Row],[NOMBRE_DEPTO]],")")</f>
        <v>MACHETA (CUNDINAMARCA)</v>
      </c>
      <c r="G531" s="19" t="s">
        <v>1386</v>
      </c>
    </row>
    <row r="532" spans="1:7" x14ac:dyDescent="0.15">
      <c r="A532" s="19">
        <v>25</v>
      </c>
      <c r="B532" s="14" t="s">
        <v>46</v>
      </c>
      <c r="D532" s="14" t="s">
        <v>1387</v>
      </c>
      <c r="E532" s="14" t="s">
        <v>1388</v>
      </c>
      <c r="F532" s="15" t="str">
        <f>CONCATENATE(Tabla1[[#This Row],[NOMBRE_MPIO]]," (",Tabla1[[#This Row],[NOMBRE_DEPTO]],")")</f>
        <v>MADRID (CUNDINAMARCA)</v>
      </c>
      <c r="G532" s="19" t="s">
        <v>1388</v>
      </c>
    </row>
    <row r="533" spans="1:7" x14ac:dyDescent="0.15">
      <c r="A533" s="19">
        <v>13</v>
      </c>
      <c r="B533" s="14" t="s">
        <v>37</v>
      </c>
      <c r="C533" s="14" t="s">
        <v>38</v>
      </c>
      <c r="D533" s="14" t="s">
        <v>1389</v>
      </c>
      <c r="E533" s="14" t="s">
        <v>1390</v>
      </c>
      <c r="F533" s="15" t="str">
        <f>CONCATENATE(Tabla1[[#This Row],[NOMBRE_MPIO]]," (",Tabla1[[#This Row],[NOMBRE_DEPTO]],")")</f>
        <v>MAGANGUÉ (BOLIVAR)</v>
      </c>
      <c r="G533" s="19" t="s">
        <v>1390</v>
      </c>
    </row>
    <row r="534" spans="1:7" x14ac:dyDescent="0.15">
      <c r="A534" s="19">
        <v>52</v>
      </c>
      <c r="B534" s="14" t="s">
        <v>80</v>
      </c>
      <c r="D534" s="14" t="s">
        <v>1391</v>
      </c>
      <c r="E534" s="14" t="s">
        <v>1392</v>
      </c>
      <c r="F534" s="15" t="str">
        <f>CONCATENATE(Tabla1[[#This Row],[NOMBRE_MPIO]]," (",Tabla1[[#This Row],[NOMBRE_DEPTO]],")")</f>
        <v>Magui (NARIÑO)</v>
      </c>
      <c r="G534" s="19" t="s">
        <v>1392</v>
      </c>
    </row>
    <row r="535" spans="1:7" x14ac:dyDescent="0.15">
      <c r="A535" s="19">
        <v>13</v>
      </c>
      <c r="B535" s="14" t="s">
        <v>37</v>
      </c>
      <c r="C535" s="14" t="s">
        <v>250</v>
      </c>
      <c r="D535" s="14" t="s">
        <v>1393</v>
      </c>
      <c r="E535" s="14" t="s">
        <v>1394</v>
      </c>
      <c r="F535" s="15" t="str">
        <f>CONCATENATE(Tabla1[[#This Row],[NOMBRE_MPIO]]," (",Tabla1[[#This Row],[NOMBRE_DEPTO]],")")</f>
        <v>MAHATES (BOLIVAR)</v>
      </c>
      <c r="G535" s="19" t="s">
        <v>1394</v>
      </c>
    </row>
    <row r="536" spans="1:7" x14ac:dyDescent="0.15">
      <c r="A536" s="19">
        <v>44</v>
      </c>
      <c r="B536" s="14" t="s">
        <v>87</v>
      </c>
      <c r="D536" s="14" t="s">
        <v>1395</v>
      </c>
      <c r="E536" s="14" t="s">
        <v>1396</v>
      </c>
      <c r="F536" s="15" t="str">
        <f>CONCATENATE(Tabla1[[#This Row],[NOMBRE_MPIO]]," (",Tabla1[[#This Row],[NOMBRE_DEPTO]],")")</f>
        <v>MAICAO (LA GUAJIRA)</v>
      </c>
      <c r="G536" s="19" t="s">
        <v>1396</v>
      </c>
    </row>
    <row r="537" spans="1:7" x14ac:dyDescent="0.15">
      <c r="A537" s="19">
        <v>70</v>
      </c>
      <c r="B537" s="14" t="s">
        <v>443</v>
      </c>
      <c r="D537" s="14" t="s">
        <v>1397</v>
      </c>
      <c r="E537" s="14" t="s">
        <v>1398</v>
      </c>
      <c r="F537" s="15" t="str">
        <f>CONCATENATE(Tabla1[[#This Row],[NOMBRE_MPIO]]," (",Tabla1[[#This Row],[NOMBRE_DEPTO]],")")</f>
        <v>MAJAGUAL (SUCRE)</v>
      </c>
      <c r="G537" s="19" t="s">
        <v>1398</v>
      </c>
    </row>
    <row r="538" spans="1:7" x14ac:dyDescent="0.15">
      <c r="A538" s="19">
        <v>68</v>
      </c>
      <c r="B538" s="14" t="s">
        <v>56</v>
      </c>
      <c r="D538" s="14" t="s">
        <v>1399</v>
      </c>
      <c r="E538" s="14" t="s">
        <v>1400</v>
      </c>
      <c r="F538" s="15" t="str">
        <f>CONCATENATE(Tabla1[[#This Row],[NOMBRE_MPIO]]," (",Tabla1[[#This Row],[NOMBRE_DEPTO]],")")</f>
        <v>MÁLAGA (SANTANDER)</v>
      </c>
      <c r="G538" s="19" t="s">
        <v>1400</v>
      </c>
    </row>
    <row r="539" spans="1:7" x14ac:dyDescent="0.15">
      <c r="A539" s="19">
        <v>8</v>
      </c>
      <c r="B539" s="14" t="s">
        <v>296</v>
      </c>
      <c r="C539" s="14" t="s">
        <v>62</v>
      </c>
      <c r="D539" s="14" t="s">
        <v>1401</v>
      </c>
      <c r="E539" s="14" t="s">
        <v>1402</v>
      </c>
      <c r="F539" s="15" t="str">
        <f>CONCATENATE(Tabla1[[#This Row],[NOMBRE_MPIO]]," (",Tabla1[[#This Row],[NOMBRE_DEPTO]],")")</f>
        <v>MALAMBO (ATLÁNTICO)</v>
      </c>
      <c r="G539" s="19" t="s">
        <v>1402</v>
      </c>
    </row>
    <row r="540" spans="1:7" x14ac:dyDescent="0.15">
      <c r="A540" s="19">
        <v>52</v>
      </c>
      <c r="B540" s="14" t="s">
        <v>80</v>
      </c>
      <c r="D540" s="14" t="s">
        <v>1403</v>
      </c>
      <c r="E540" s="14" t="s">
        <v>1404</v>
      </c>
      <c r="F540" s="15" t="str">
        <f>CONCATENATE(Tabla1[[#This Row],[NOMBRE_MPIO]]," (",Tabla1[[#This Row],[NOMBRE_DEPTO]],")")</f>
        <v>MALLAMA (NARIÑO)</v>
      </c>
      <c r="G540" s="19" t="s">
        <v>1404</v>
      </c>
    </row>
    <row r="541" spans="1:7" x14ac:dyDescent="0.15">
      <c r="A541" s="19">
        <v>8</v>
      </c>
      <c r="B541" s="14" t="s">
        <v>296</v>
      </c>
      <c r="C541" s="14" t="s">
        <v>33</v>
      </c>
      <c r="D541" s="14" t="s">
        <v>1405</v>
      </c>
      <c r="E541" s="14" t="s">
        <v>1406</v>
      </c>
      <c r="F541" s="15" t="str">
        <f>CONCATENATE(Tabla1[[#This Row],[NOMBRE_MPIO]]," (",Tabla1[[#This Row],[NOMBRE_DEPTO]],")")</f>
        <v>MANATi (ATLÁNTICO)</v>
      </c>
      <c r="G541" s="19" t="s">
        <v>1406</v>
      </c>
    </row>
    <row r="542" spans="1:7" x14ac:dyDescent="0.15">
      <c r="A542" s="19">
        <v>20</v>
      </c>
      <c r="B542" s="14" t="s">
        <v>51</v>
      </c>
      <c r="C542" s="14" t="s">
        <v>62</v>
      </c>
      <c r="D542" s="14" t="s">
        <v>1407</v>
      </c>
      <c r="E542" s="14" t="s">
        <v>1408</v>
      </c>
      <c r="F542" s="15" t="str">
        <f>CONCATENATE(Tabla1[[#This Row],[NOMBRE_MPIO]]," (",Tabla1[[#This Row],[NOMBRE_DEPTO]],")")</f>
        <v>MANAURE (CESAR)</v>
      </c>
      <c r="G542" s="19" t="s">
        <v>1408</v>
      </c>
    </row>
    <row r="543" spans="1:7" x14ac:dyDescent="0.15">
      <c r="A543" s="19">
        <v>44</v>
      </c>
      <c r="B543" s="14" t="s">
        <v>87</v>
      </c>
      <c r="D543" s="14" t="s">
        <v>1407</v>
      </c>
      <c r="E543" s="14" t="s">
        <v>1409</v>
      </c>
      <c r="F543" s="15" t="str">
        <f>CONCATENATE(Tabla1[[#This Row],[NOMBRE_MPIO]]," (",Tabla1[[#This Row],[NOMBRE_DEPTO]],")")</f>
        <v>MANAURE (LA GUAJIRA)</v>
      </c>
      <c r="G543" s="19" t="s">
        <v>1409</v>
      </c>
    </row>
    <row r="544" spans="1:7" x14ac:dyDescent="0.15">
      <c r="A544" s="19">
        <v>85</v>
      </c>
      <c r="B544" s="14" t="s">
        <v>66</v>
      </c>
      <c r="C544" s="14" t="s">
        <v>66</v>
      </c>
      <c r="D544" s="14" t="s">
        <v>1410</v>
      </c>
      <c r="E544" s="14" t="s">
        <v>1411</v>
      </c>
      <c r="F544" s="15" t="str">
        <f>CONCATENATE(Tabla1[[#This Row],[NOMBRE_MPIO]]," (",Tabla1[[#This Row],[NOMBRE_DEPTO]],")")</f>
        <v>MANÍ (CASANARE)</v>
      </c>
      <c r="G544" s="19" t="s">
        <v>1411</v>
      </c>
    </row>
    <row r="545" spans="1:7" x14ac:dyDescent="0.15">
      <c r="A545" s="19">
        <v>17</v>
      </c>
      <c r="B545" s="14" t="s">
        <v>61</v>
      </c>
      <c r="C545" s="14" t="s">
        <v>42</v>
      </c>
      <c r="D545" s="14" t="s">
        <v>1412</v>
      </c>
      <c r="E545" s="14" t="s">
        <v>1413</v>
      </c>
      <c r="F545" s="15" t="str">
        <f>CONCATENATE(Tabla1[[#This Row],[NOMBRE_MPIO]]," (",Tabla1[[#This Row],[NOMBRE_DEPTO]],")")</f>
        <v>MANIZALES (CALDAS)</v>
      </c>
      <c r="G545" s="19" t="s">
        <v>1413</v>
      </c>
    </row>
    <row r="546" spans="1:7" x14ac:dyDescent="0.15">
      <c r="A546" s="19">
        <v>25</v>
      </c>
      <c r="B546" s="14" t="s">
        <v>46</v>
      </c>
      <c r="D546" s="14" t="s">
        <v>1414</v>
      </c>
      <c r="E546" s="14" t="s">
        <v>1415</v>
      </c>
      <c r="F546" s="15" t="str">
        <f>CONCATENATE(Tabla1[[#This Row],[NOMBRE_MPIO]]," (",Tabla1[[#This Row],[NOMBRE_DEPTO]],")")</f>
        <v>MANTA (CUNDINAMARCA)</v>
      </c>
      <c r="G546" s="19" t="s">
        <v>1415</v>
      </c>
    </row>
    <row r="547" spans="1:7" x14ac:dyDescent="0.15">
      <c r="A547" s="19">
        <v>17</v>
      </c>
      <c r="B547" s="14" t="s">
        <v>61</v>
      </c>
      <c r="C547" s="14" t="s">
        <v>1416</v>
      </c>
      <c r="D547" s="14" t="s">
        <v>1417</v>
      </c>
      <c r="E547" s="14" t="s">
        <v>1418</v>
      </c>
      <c r="F547" s="15" t="str">
        <f>CONCATENATE(Tabla1[[#This Row],[NOMBRE_MPIO]]," (",Tabla1[[#This Row],[NOMBRE_DEPTO]],")")</f>
        <v>MANZANARES (CALDAS)</v>
      </c>
      <c r="G547" s="19" t="s">
        <v>1418</v>
      </c>
    </row>
    <row r="548" spans="1:7" x14ac:dyDescent="0.15">
      <c r="A548" s="19">
        <v>94</v>
      </c>
      <c r="B548" s="14" t="s">
        <v>330</v>
      </c>
      <c r="D548" s="14" t="s">
        <v>1419</v>
      </c>
      <c r="E548" s="14" t="s">
        <v>1420</v>
      </c>
      <c r="F548" s="15" t="str">
        <f>CONCATENATE(Tabla1[[#This Row],[NOMBRE_MPIO]]," (",Tabla1[[#This Row],[NOMBRE_DEPTO]],")")</f>
        <v>MAPIRIPaN (GUAINIA)</v>
      </c>
      <c r="G548" s="19" t="s">
        <v>1420</v>
      </c>
    </row>
    <row r="549" spans="1:7" x14ac:dyDescent="0.15">
      <c r="A549" s="19">
        <v>50</v>
      </c>
      <c r="B549" s="14" t="s">
        <v>22</v>
      </c>
      <c r="D549" s="14" t="s">
        <v>1419</v>
      </c>
      <c r="E549" s="14" t="s">
        <v>1421</v>
      </c>
      <c r="F549" s="15" t="str">
        <f>CONCATENATE(Tabla1[[#This Row],[NOMBRE_MPIO]]," (",Tabla1[[#This Row],[NOMBRE_DEPTO]],")")</f>
        <v>MAPIRIPaN (META)</v>
      </c>
      <c r="G549" s="19" t="s">
        <v>1421</v>
      </c>
    </row>
    <row r="550" spans="1:7" x14ac:dyDescent="0.15">
      <c r="A550" s="19">
        <v>13</v>
      </c>
      <c r="B550" s="14" t="s">
        <v>37</v>
      </c>
      <c r="C550" s="14" t="s">
        <v>751</v>
      </c>
      <c r="D550" s="14" t="s">
        <v>1422</v>
      </c>
      <c r="E550" s="14" t="s">
        <v>1423</v>
      </c>
      <c r="F550" s="15" t="str">
        <f>CONCATENATE(Tabla1[[#This Row],[NOMBRE_MPIO]]," (",Tabla1[[#This Row],[NOMBRE_DEPTO]],")")</f>
        <v>MARGARITA (BOLIVAR)</v>
      </c>
      <c r="G550" s="19" t="s">
        <v>1423</v>
      </c>
    </row>
    <row r="551" spans="1:7" x14ac:dyDescent="0.15">
      <c r="A551" s="19">
        <v>13</v>
      </c>
      <c r="B551" s="14" t="s">
        <v>37</v>
      </c>
      <c r="C551" s="14" t="s">
        <v>596</v>
      </c>
      <c r="D551" s="14" t="s">
        <v>1424</v>
      </c>
      <c r="E551" s="14" t="s">
        <v>1425</v>
      </c>
      <c r="F551" s="15" t="str">
        <f>CONCATENATE(Tabla1[[#This Row],[NOMBRE_MPIO]]," (",Tabla1[[#This Row],[NOMBRE_DEPTO]],")")</f>
        <v>MARÍA LA BAJA (BOLIVAR)</v>
      </c>
      <c r="G551" s="19" t="s">
        <v>1425</v>
      </c>
    </row>
    <row r="552" spans="1:7" x14ac:dyDescent="0.15">
      <c r="A552" s="19">
        <v>5</v>
      </c>
      <c r="B552" s="14" t="s">
        <v>9</v>
      </c>
      <c r="C552" s="14" t="s">
        <v>10</v>
      </c>
      <c r="D552" s="14" t="s">
        <v>1426</v>
      </c>
      <c r="E552" s="14" t="s">
        <v>1427</v>
      </c>
      <c r="F552" s="15" t="str">
        <f>CONCATENATE(Tabla1[[#This Row],[NOMBRE_MPIO]]," (",Tabla1[[#This Row],[NOMBRE_DEPTO]],")")</f>
        <v>MARINILLA (ANTIOQUIA)</v>
      </c>
      <c r="G552" s="19" t="s">
        <v>1427</v>
      </c>
    </row>
    <row r="553" spans="1:7" x14ac:dyDescent="0.15">
      <c r="A553" s="19">
        <v>15</v>
      </c>
      <c r="B553" s="14" t="s">
        <v>113</v>
      </c>
      <c r="C553" s="14" t="s">
        <v>15</v>
      </c>
      <c r="D553" s="14" t="s">
        <v>1428</v>
      </c>
      <c r="E553" s="14" t="s">
        <v>1429</v>
      </c>
      <c r="F553" s="15" t="str">
        <f>CONCATENATE(Tabla1[[#This Row],[NOMBRE_MPIO]]," (",Tabla1[[#This Row],[NOMBRE_DEPTO]],")")</f>
        <v>MARIPÍ (BOYACÁ)</v>
      </c>
      <c r="G553" s="19" t="s">
        <v>1429</v>
      </c>
    </row>
    <row r="554" spans="1:7" x14ac:dyDescent="0.15">
      <c r="A554" s="19">
        <v>73</v>
      </c>
      <c r="B554" s="14" t="s">
        <v>117</v>
      </c>
      <c r="D554" s="14" t="s">
        <v>1430</v>
      </c>
      <c r="E554" s="14" t="s">
        <v>1431</v>
      </c>
      <c r="F554" s="15" t="str">
        <f>CONCATENATE(Tabla1[[#This Row],[NOMBRE_MPIO]]," (",Tabla1[[#This Row],[NOMBRE_DEPTO]],")")</f>
        <v>MARIQUITA (TOLIMA)</v>
      </c>
      <c r="G554" s="19" t="s">
        <v>1431</v>
      </c>
    </row>
    <row r="555" spans="1:7" x14ac:dyDescent="0.15">
      <c r="A555" s="19">
        <v>17</v>
      </c>
      <c r="B555" s="14" t="s">
        <v>61</v>
      </c>
      <c r="C555" s="14" t="s">
        <v>1013</v>
      </c>
      <c r="D555" s="14" t="s">
        <v>1432</v>
      </c>
      <c r="E555" s="14" t="s">
        <v>1433</v>
      </c>
      <c r="F555" s="15" t="str">
        <f>CONCATENATE(Tabla1[[#This Row],[NOMBRE_MPIO]]," (",Tabla1[[#This Row],[NOMBRE_DEPTO]],")")</f>
        <v>MARMATO (CALDAS)</v>
      </c>
      <c r="G555" s="19" t="s">
        <v>1433</v>
      </c>
    </row>
    <row r="556" spans="1:7" x14ac:dyDescent="0.15">
      <c r="A556" s="19">
        <v>17</v>
      </c>
      <c r="B556" s="14" t="s">
        <v>61</v>
      </c>
      <c r="C556" s="14" t="s">
        <v>1416</v>
      </c>
      <c r="D556" s="14" t="s">
        <v>1434</v>
      </c>
      <c r="E556" s="14" t="s">
        <v>1435</v>
      </c>
      <c r="F556" s="15" t="str">
        <f>CONCATENATE(Tabla1[[#This Row],[NOMBRE_MPIO]]," (",Tabla1[[#This Row],[NOMBRE_DEPTO]],")")</f>
        <v>MARQUETALIA (CALDAS)</v>
      </c>
      <c r="G556" s="19" t="s">
        <v>1435</v>
      </c>
    </row>
    <row r="557" spans="1:7" x14ac:dyDescent="0.15">
      <c r="A557" s="19">
        <v>66</v>
      </c>
      <c r="B557" s="14" t="s">
        <v>191</v>
      </c>
      <c r="D557" s="14" t="s">
        <v>1436</v>
      </c>
      <c r="E557" s="14" t="s">
        <v>1437</v>
      </c>
      <c r="F557" s="15" t="str">
        <f>CONCATENATE(Tabla1[[#This Row],[NOMBRE_MPIO]]," (",Tabla1[[#This Row],[NOMBRE_DEPTO]],")")</f>
        <v>MARSELLA (RISARALDA)</v>
      </c>
      <c r="G557" s="19" t="s">
        <v>1437</v>
      </c>
    </row>
    <row r="558" spans="1:7" x14ac:dyDescent="0.15">
      <c r="A558" s="19">
        <v>17</v>
      </c>
      <c r="B558" s="14" t="s">
        <v>61</v>
      </c>
      <c r="C558" s="14" t="s">
        <v>1416</v>
      </c>
      <c r="D558" s="14" t="s">
        <v>1438</v>
      </c>
      <c r="E558" s="14" t="s">
        <v>1439</v>
      </c>
      <c r="F558" s="15" t="str">
        <f>CONCATENATE(Tabla1[[#This Row],[NOMBRE_MPIO]]," (",Tabla1[[#This Row],[NOMBRE_DEPTO]],")")</f>
        <v>MARULANDA (CALDAS)</v>
      </c>
      <c r="G558" s="19" t="s">
        <v>1439</v>
      </c>
    </row>
    <row r="559" spans="1:7" x14ac:dyDescent="0.15">
      <c r="A559" s="19">
        <v>68</v>
      </c>
      <c r="B559" s="14" t="s">
        <v>56</v>
      </c>
      <c r="D559" s="14" t="s">
        <v>1440</v>
      </c>
      <c r="E559" s="14" t="s">
        <v>1441</v>
      </c>
      <c r="F559" s="15" t="str">
        <f>CONCATENATE(Tabla1[[#This Row],[NOMBRE_MPIO]]," (",Tabla1[[#This Row],[NOMBRE_DEPTO]],")")</f>
        <v>MATANZA (SANTANDER)</v>
      </c>
      <c r="G559" s="19" t="s">
        <v>1441</v>
      </c>
    </row>
    <row r="560" spans="1:7" x14ac:dyDescent="0.15">
      <c r="A560" s="19">
        <v>5</v>
      </c>
      <c r="B560" s="14" t="s">
        <v>9</v>
      </c>
      <c r="C560" s="14" t="s">
        <v>308</v>
      </c>
      <c r="D560" s="14" t="s">
        <v>1442</v>
      </c>
      <c r="E560" s="14" t="s">
        <v>1443</v>
      </c>
      <c r="F560" s="15" t="str">
        <f>CONCATENATE(Tabla1[[#This Row],[NOMBRE_MPIO]]," (",Tabla1[[#This Row],[NOMBRE_DEPTO]],")")</f>
        <v>MEDELLÍN (ANTIOQUIA)</v>
      </c>
      <c r="G560" s="19" t="s">
        <v>1443</v>
      </c>
    </row>
    <row r="561" spans="1:7" x14ac:dyDescent="0.15">
      <c r="A561" s="19">
        <v>25</v>
      </c>
      <c r="B561" s="14" t="s">
        <v>46</v>
      </c>
      <c r="C561" s="14" t="s">
        <v>1444</v>
      </c>
      <c r="D561" s="14" t="s">
        <v>1444</v>
      </c>
      <c r="E561" s="14" t="s">
        <v>1445</v>
      </c>
      <c r="F561" s="15" t="str">
        <f>CONCATENATE(Tabla1[[#This Row],[NOMBRE_MPIO]]," (",Tabla1[[#This Row],[NOMBRE_DEPTO]],")")</f>
        <v>MEDINA (CUNDINAMARCA)</v>
      </c>
      <c r="G561" s="19" t="s">
        <v>1445</v>
      </c>
    </row>
    <row r="562" spans="1:7" x14ac:dyDescent="0.15">
      <c r="A562" s="19">
        <v>27</v>
      </c>
      <c r="B562" s="14" t="s">
        <v>27</v>
      </c>
      <c r="C562" s="14" t="s">
        <v>273</v>
      </c>
      <c r="D562" s="14" t="s">
        <v>1446</v>
      </c>
      <c r="E562" s="14" t="s">
        <v>1447</v>
      </c>
      <c r="F562" s="15" t="str">
        <f>CONCATENATE(Tabla1[[#This Row],[NOMBRE_MPIO]]," (",Tabla1[[#This Row],[NOMBRE_DEPTO]],")")</f>
        <v>MEDIO ATRATO (CHOCO)</v>
      </c>
      <c r="G562" s="19" t="s">
        <v>1447</v>
      </c>
    </row>
    <row r="563" spans="1:7" x14ac:dyDescent="0.15">
      <c r="A563" s="19">
        <v>27</v>
      </c>
      <c r="B563" s="14" t="s">
        <v>27</v>
      </c>
      <c r="C563" s="14" t="s">
        <v>125</v>
      </c>
      <c r="D563" s="14" t="s">
        <v>1448</v>
      </c>
      <c r="E563" s="14" t="s">
        <v>1449</v>
      </c>
      <c r="F563" s="15" t="str">
        <f>CONCATENATE(Tabla1[[#This Row],[NOMBRE_MPIO]]," (",Tabla1[[#This Row],[NOMBRE_DEPTO]],")")</f>
        <v>MEDIO BAUDÓ (CHOCO)</v>
      </c>
      <c r="G563" s="19" t="s">
        <v>1449</v>
      </c>
    </row>
    <row r="564" spans="1:7" x14ac:dyDescent="0.15">
      <c r="A564" s="19">
        <v>27</v>
      </c>
      <c r="B564" s="14" t="s">
        <v>27</v>
      </c>
      <c r="D564" s="14" t="s">
        <v>1450</v>
      </c>
      <c r="E564" s="14" t="s">
        <v>1451</v>
      </c>
      <c r="F564" s="15" t="str">
        <f>CONCATENATE(Tabla1[[#This Row],[NOMBRE_MPIO]]," (",Tabla1[[#This Row],[NOMBRE_DEPTO]],")")</f>
        <v>MEDIO SAN JUAN (CHOCO)</v>
      </c>
      <c r="G564" s="19" t="s">
        <v>1451</v>
      </c>
    </row>
    <row r="565" spans="1:7" x14ac:dyDescent="0.15">
      <c r="A565" s="19">
        <v>73</v>
      </c>
      <c r="B565" s="14" t="s">
        <v>117</v>
      </c>
      <c r="D565" s="14" t="s">
        <v>1452</v>
      </c>
      <c r="E565" s="14" t="s">
        <v>1453</v>
      </c>
      <c r="F565" s="15" t="str">
        <f>CONCATENATE(Tabla1[[#This Row],[NOMBRE_MPIO]]," (",Tabla1[[#This Row],[NOMBRE_DEPTO]],")")</f>
        <v>MELGAR (TOLIMA)</v>
      </c>
      <c r="G565" s="19" t="s">
        <v>1453</v>
      </c>
    </row>
    <row r="566" spans="1:7" x14ac:dyDescent="0.15">
      <c r="A566" s="19">
        <v>19</v>
      </c>
      <c r="B566" s="14" t="s">
        <v>109</v>
      </c>
      <c r="C566" s="14" t="s">
        <v>52</v>
      </c>
      <c r="D566" s="14" t="s">
        <v>1454</v>
      </c>
      <c r="E566" s="14" t="s">
        <v>1455</v>
      </c>
      <c r="F566" s="15" t="str">
        <f>CONCATENATE(Tabla1[[#This Row],[NOMBRE_MPIO]]," (",Tabla1[[#This Row],[NOMBRE_DEPTO]],")")</f>
        <v>MERCADERES (CAUCA)</v>
      </c>
      <c r="G566" s="19" t="s">
        <v>1455</v>
      </c>
    </row>
    <row r="567" spans="1:7" x14ac:dyDescent="0.15">
      <c r="A567" s="19">
        <v>50</v>
      </c>
      <c r="B567" s="14" t="s">
        <v>22</v>
      </c>
      <c r="D567" s="14" t="s">
        <v>1456</v>
      </c>
      <c r="E567" s="14" t="s">
        <v>1457</v>
      </c>
      <c r="F567" s="15" t="str">
        <f>CONCATENATE(Tabla1[[#This Row],[NOMBRE_MPIO]]," (",Tabla1[[#This Row],[NOMBRE_DEPTO]],")")</f>
        <v>MESETAS (META)</v>
      </c>
      <c r="G567" s="19" t="s">
        <v>1457</v>
      </c>
    </row>
    <row r="568" spans="1:7" x14ac:dyDescent="0.15">
      <c r="A568" s="19">
        <v>18</v>
      </c>
      <c r="B568" s="14" t="s">
        <v>84</v>
      </c>
      <c r="C568" s="14" t="s">
        <v>84</v>
      </c>
      <c r="D568" s="14" t="s">
        <v>1458</v>
      </c>
      <c r="E568" s="14" t="s">
        <v>1459</v>
      </c>
      <c r="F568" s="15" t="str">
        <f>CONCATENATE(Tabla1[[#This Row],[NOMBRE_MPIO]]," (",Tabla1[[#This Row],[NOMBRE_DEPTO]],")")</f>
        <v>MILaN (CAQUETA)</v>
      </c>
      <c r="G568" s="19" t="s">
        <v>1459</v>
      </c>
    </row>
    <row r="569" spans="1:7" x14ac:dyDescent="0.15">
      <c r="A569" s="19">
        <v>15</v>
      </c>
      <c r="B569" s="14" t="s">
        <v>113</v>
      </c>
      <c r="C569" s="14" t="s">
        <v>370</v>
      </c>
      <c r="D569" s="14" t="s">
        <v>1460</v>
      </c>
      <c r="E569" s="14" t="s">
        <v>1461</v>
      </c>
      <c r="F569" s="15" t="str">
        <f>CONCATENATE(Tabla1[[#This Row],[NOMBRE_MPIO]]," (",Tabla1[[#This Row],[NOMBRE_DEPTO]],")")</f>
        <v>MIRAFLORES (BOYACÁ)</v>
      </c>
      <c r="G569" s="19" t="s">
        <v>1461</v>
      </c>
    </row>
    <row r="570" spans="1:7" x14ac:dyDescent="0.15">
      <c r="A570" s="19">
        <v>95</v>
      </c>
      <c r="B570" s="14" t="s">
        <v>513</v>
      </c>
      <c r="D570" s="14" t="s">
        <v>1460</v>
      </c>
      <c r="E570" s="14" t="s">
        <v>1462</v>
      </c>
      <c r="F570" s="15" t="str">
        <f>CONCATENATE(Tabla1[[#This Row],[NOMBRE_MPIO]]," (",Tabla1[[#This Row],[NOMBRE_DEPTO]],")")</f>
        <v>MIRAFLORES (GUAVIARE)</v>
      </c>
      <c r="G570" s="19" t="s">
        <v>1462</v>
      </c>
    </row>
    <row r="571" spans="1:7" x14ac:dyDescent="0.15">
      <c r="A571" s="19">
        <v>19</v>
      </c>
      <c r="B571" s="14" t="s">
        <v>109</v>
      </c>
      <c r="C571" s="14" t="s">
        <v>62</v>
      </c>
      <c r="D571" s="14" t="s">
        <v>1463</v>
      </c>
      <c r="E571" s="14" t="s">
        <v>1464</v>
      </c>
      <c r="F571" s="15" t="str">
        <f>CONCATENATE(Tabla1[[#This Row],[NOMBRE_MPIO]]," (",Tabla1[[#This Row],[NOMBRE_DEPTO]],")")</f>
        <v>MIRANDA (CAUCA)</v>
      </c>
      <c r="G571" s="19" t="s">
        <v>1464</v>
      </c>
    </row>
    <row r="572" spans="1:7" x14ac:dyDescent="0.15">
      <c r="A572" s="19">
        <v>91</v>
      </c>
      <c r="B572" s="14" t="s">
        <v>950</v>
      </c>
      <c r="C572" s="14" t="s">
        <v>950</v>
      </c>
      <c r="D572" s="14" t="s">
        <v>1465</v>
      </c>
      <c r="E572" s="14" t="s">
        <v>1466</v>
      </c>
      <c r="F572" s="15" t="str">
        <f>CONCATENATE(Tabla1[[#This Row],[NOMBRE_MPIO]]," (",Tabla1[[#This Row],[NOMBRE_DEPTO]],")")</f>
        <v>MIRITI - PARANÁ (AMAZONAS)</v>
      </c>
      <c r="G572" s="19" t="s">
        <v>1466</v>
      </c>
    </row>
    <row r="573" spans="1:7" x14ac:dyDescent="0.15">
      <c r="A573" s="19">
        <v>66</v>
      </c>
      <c r="B573" s="14" t="s">
        <v>191</v>
      </c>
      <c r="C573" s="14" t="s">
        <v>1467</v>
      </c>
      <c r="D573" s="14" t="s">
        <v>1468</v>
      </c>
      <c r="E573" s="14" t="s">
        <v>1469</v>
      </c>
      <c r="F573" s="15" t="str">
        <f>CONCATENATE(Tabla1[[#This Row],[NOMBRE_MPIO]]," (",Tabla1[[#This Row],[NOMBRE_DEPTO]],")")</f>
        <v>MISTRATÓ (RISARALDA)</v>
      </c>
      <c r="G573" s="19" t="s">
        <v>1469</v>
      </c>
    </row>
    <row r="574" spans="1:7" x14ac:dyDescent="0.15">
      <c r="A574" s="19">
        <v>97</v>
      </c>
      <c r="B574" s="14" t="s">
        <v>622</v>
      </c>
      <c r="D574" s="14" t="s">
        <v>1470</v>
      </c>
      <c r="E574" s="14" t="s">
        <v>1471</v>
      </c>
      <c r="F574" s="15" t="str">
        <f>CONCATENATE(Tabla1[[#This Row],[NOMBRE_MPIO]]," (",Tabla1[[#This Row],[NOMBRE_DEPTO]],")")</f>
        <v>MITÚ (VAUPES)</v>
      </c>
      <c r="G574" s="19" t="s">
        <v>1471</v>
      </c>
    </row>
    <row r="575" spans="1:7" x14ac:dyDescent="0.15">
      <c r="A575" s="19">
        <v>86</v>
      </c>
      <c r="B575" s="14" t="s">
        <v>793</v>
      </c>
      <c r="D575" s="14" t="s">
        <v>1472</v>
      </c>
      <c r="E575" s="14" t="s">
        <v>1473</v>
      </c>
      <c r="F575" s="15" t="str">
        <f>CONCATENATE(Tabla1[[#This Row],[NOMBRE_MPIO]]," (",Tabla1[[#This Row],[NOMBRE_DEPTO]],")")</f>
        <v>MOCOA (PUTUMAYO)</v>
      </c>
      <c r="G575" s="19" t="s">
        <v>1473</v>
      </c>
    </row>
    <row r="576" spans="1:7" x14ac:dyDescent="0.15">
      <c r="A576" s="19">
        <v>68</v>
      </c>
      <c r="B576" s="14" t="s">
        <v>56</v>
      </c>
      <c r="D576" s="14" t="s">
        <v>1474</v>
      </c>
      <c r="E576" s="14" t="s">
        <v>1475</v>
      </c>
      <c r="F576" s="15" t="str">
        <f>CONCATENATE(Tabla1[[#This Row],[NOMBRE_MPIO]]," (",Tabla1[[#This Row],[NOMBRE_DEPTO]],")")</f>
        <v>MOGOTES (SANTANDER)</v>
      </c>
      <c r="G576" s="19" t="s">
        <v>1475</v>
      </c>
    </row>
    <row r="577" spans="1:7" x14ac:dyDescent="0.15">
      <c r="A577" s="19">
        <v>68</v>
      </c>
      <c r="B577" s="14" t="s">
        <v>56</v>
      </c>
      <c r="D577" s="14" t="s">
        <v>1476</v>
      </c>
      <c r="E577" s="14" t="s">
        <v>1477</v>
      </c>
      <c r="F577" s="15" t="str">
        <f>CONCATENATE(Tabla1[[#This Row],[NOMBRE_MPIO]]," (",Tabla1[[#This Row],[NOMBRE_DEPTO]],")")</f>
        <v>MOLAGAVITA (SANTANDER)</v>
      </c>
      <c r="G577" s="19" t="s">
        <v>1477</v>
      </c>
    </row>
    <row r="578" spans="1:7" x14ac:dyDescent="0.15">
      <c r="A578" s="19">
        <v>23</v>
      </c>
      <c r="B578" s="14" t="s">
        <v>276</v>
      </c>
      <c r="D578" s="14" t="s">
        <v>1478</v>
      </c>
      <c r="E578" s="14" t="s">
        <v>1479</v>
      </c>
      <c r="F578" s="15" t="str">
        <f>CONCATENATE(Tabla1[[#This Row],[NOMBRE_MPIO]]," (",Tabla1[[#This Row],[NOMBRE_DEPTO]],")")</f>
        <v>MOMIL (CORDOBA)</v>
      </c>
      <c r="G578" s="19" t="s">
        <v>1479</v>
      </c>
    </row>
    <row r="579" spans="1:7" x14ac:dyDescent="0.15">
      <c r="A579" s="19">
        <v>13</v>
      </c>
      <c r="B579" s="14" t="s">
        <v>37</v>
      </c>
      <c r="C579" s="14" t="s">
        <v>751</v>
      </c>
      <c r="D579" s="14" t="s">
        <v>1480</v>
      </c>
      <c r="E579" s="14" t="s">
        <v>1481</v>
      </c>
      <c r="F579" s="15" t="str">
        <f>CONCATENATE(Tabla1[[#This Row],[NOMBRE_MPIO]]," (",Tabla1[[#This Row],[NOMBRE_DEPTO]],")")</f>
        <v>MOMPÓS (BOLIVAR)</v>
      </c>
      <c r="G579" s="19" t="s">
        <v>1481</v>
      </c>
    </row>
    <row r="580" spans="1:7" x14ac:dyDescent="0.15">
      <c r="A580" s="19">
        <v>15</v>
      </c>
      <c r="B580" s="14" t="s">
        <v>113</v>
      </c>
      <c r="C580" s="14" t="s">
        <v>199</v>
      </c>
      <c r="D580" s="14" t="s">
        <v>1482</v>
      </c>
      <c r="E580" s="14" t="s">
        <v>1483</v>
      </c>
      <c r="F580" s="15" t="str">
        <f>CONCATENATE(Tabla1[[#This Row],[NOMBRE_MPIO]]," (",Tabla1[[#This Row],[NOMBRE_DEPTO]],")")</f>
        <v>MONGUA (BOYACÁ)</v>
      </c>
      <c r="G580" s="19" t="s">
        <v>1483</v>
      </c>
    </row>
    <row r="581" spans="1:7" x14ac:dyDescent="0.15">
      <c r="A581" s="19">
        <v>15</v>
      </c>
      <c r="B581" s="14" t="s">
        <v>113</v>
      </c>
      <c r="C581" s="14" t="s">
        <v>199</v>
      </c>
      <c r="D581" s="14" t="s">
        <v>1484</v>
      </c>
      <c r="E581" s="14" t="s">
        <v>1485</v>
      </c>
      <c r="F581" s="15" t="str">
        <f>CONCATENATE(Tabla1[[#This Row],[NOMBRE_MPIO]]," (",Tabla1[[#This Row],[NOMBRE_DEPTO]],")")</f>
        <v>MONGUÍ (BOYACÁ)</v>
      </c>
      <c r="G581" s="19" t="s">
        <v>1485</v>
      </c>
    </row>
    <row r="582" spans="1:7" x14ac:dyDescent="0.15">
      <c r="A582" s="19">
        <v>15</v>
      </c>
      <c r="B582" s="14" t="s">
        <v>113</v>
      </c>
      <c r="C582" s="14" t="s">
        <v>232</v>
      </c>
      <c r="D582" s="14" t="s">
        <v>1486</v>
      </c>
      <c r="E582" s="14" t="s">
        <v>1487</v>
      </c>
      <c r="F582" s="15" t="str">
        <f>CONCATENATE(Tabla1[[#This Row],[NOMBRE_MPIO]]," (",Tabla1[[#This Row],[NOMBRE_DEPTO]],")")</f>
        <v>MONIQUIRÁ (BOYACÁ)</v>
      </c>
      <c r="G582" s="19" t="s">
        <v>1487</v>
      </c>
    </row>
    <row r="583" spans="1:7" x14ac:dyDescent="0.15">
      <c r="A583" s="19">
        <v>5</v>
      </c>
      <c r="B583" s="14" t="s">
        <v>9</v>
      </c>
      <c r="C583" s="14" t="s">
        <v>137</v>
      </c>
      <c r="D583" s="14" t="s">
        <v>1488</v>
      </c>
      <c r="E583" s="14" t="s">
        <v>1489</v>
      </c>
      <c r="F583" s="15" t="str">
        <f>CONCATENATE(Tabla1[[#This Row],[NOMBRE_MPIO]]," (",Tabla1[[#This Row],[NOMBRE_DEPTO]],")")</f>
        <v>MONTEBELLO (ANTIOQUIA)</v>
      </c>
      <c r="G583" s="19" t="s">
        <v>1489</v>
      </c>
    </row>
    <row r="584" spans="1:7" x14ac:dyDescent="0.15">
      <c r="A584" s="19">
        <v>13</v>
      </c>
      <c r="B584" s="14" t="s">
        <v>37</v>
      </c>
      <c r="C584" s="14" t="s">
        <v>38</v>
      </c>
      <c r="D584" s="14" t="s">
        <v>1490</v>
      </c>
      <c r="E584" s="14" t="s">
        <v>1491</v>
      </c>
      <c r="F584" s="15" t="str">
        <f>CONCATENATE(Tabla1[[#This Row],[NOMBRE_MPIO]]," (",Tabla1[[#This Row],[NOMBRE_DEPTO]],")")</f>
        <v>MONTECRISTO (BOLIVAR)</v>
      </c>
      <c r="G584" s="19" t="s">
        <v>1491</v>
      </c>
    </row>
    <row r="585" spans="1:7" x14ac:dyDescent="0.15">
      <c r="A585" s="19">
        <v>23</v>
      </c>
      <c r="B585" s="14" t="s">
        <v>276</v>
      </c>
      <c r="D585" s="14" t="s">
        <v>1492</v>
      </c>
      <c r="E585" s="14" t="s">
        <v>1493</v>
      </c>
      <c r="F585" s="15" t="str">
        <f>CONCATENATE(Tabla1[[#This Row],[NOMBRE_MPIO]]," (",Tabla1[[#This Row],[NOMBRE_DEPTO]],")")</f>
        <v>MONTELÍBANO (CORDOBA)</v>
      </c>
      <c r="G585" s="19" t="s">
        <v>1493</v>
      </c>
    </row>
    <row r="586" spans="1:7" x14ac:dyDescent="0.15">
      <c r="A586" s="19">
        <v>63</v>
      </c>
      <c r="B586" s="14" t="s">
        <v>256</v>
      </c>
      <c r="D586" s="14" t="s">
        <v>1494</v>
      </c>
      <c r="E586" s="14" t="s">
        <v>1495</v>
      </c>
      <c r="F586" s="15" t="str">
        <f>CONCATENATE(Tabla1[[#This Row],[NOMBRE_MPIO]]," (",Tabla1[[#This Row],[NOMBRE_DEPTO]],")")</f>
        <v>Montengro (QUINDIO)</v>
      </c>
      <c r="G586" s="19" t="s">
        <v>1495</v>
      </c>
    </row>
    <row r="587" spans="1:7" x14ac:dyDescent="0.15">
      <c r="A587" s="19">
        <v>23</v>
      </c>
      <c r="B587" s="14" t="s">
        <v>276</v>
      </c>
      <c r="C587" s="14" t="s">
        <v>42</v>
      </c>
      <c r="D587" s="14" t="s">
        <v>1496</v>
      </c>
      <c r="E587" s="14" t="s">
        <v>1497</v>
      </c>
      <c r="F587" s="15" t="str">
        <f>CONCATENATE(Tabla1[[#This Row],[NOMBRE_MPIO]]," (",Tabla1[[#This Row],[NOMBRE_DEPTO]],")")</f>
        <v>MONTERÍA (CORDOBA)</v>
      </c>
      <c r="G587" s="19" t="s">
        <v>1497</v>
      </c>
    </row>
    <row r="588" spans="1:7" x14ac:dyDescent="0.15">
      <c r="A588" s="19">
        <v>85</v>
      </c>
      <c r="B588" s="14" t="s">
        <v>66</v>
      </c>
      <c r="C588" s="14" t="s">
        <v>66</v>
      </c>
      <c r="D588" s="14" t="s">
        <v>1498</v>
      </c>
      <c r="E588" s="14" t="s">
        <v>1499</v>
      </c>
      <c r="F588" s="15" t="str">
        <f>CONCATENATE(Tabla1[[#This Row],[NOMBRE_MPIO]]," (",Tabla1[[#This Row],[NOMBRE_DEPTO]],")")</f>
        <v>MONTERREY (CASANARE)</v>
      </c>
      <c r="G588" s="19" t="s">
        <v>1499</v>
      </c>
    </row>
    <row r="589" spans="1:7" x14ac:dyDescent="0.15">
      <c r="A589" s="19">
        <v>23</v>
      </c>
      <c r="B589" s="14" t="s">
        <v>276</v>
      </c>
      <c r="D589" s="14" t="s">
        <v>1500</v>
      </c>
      <c r="E589" s="14" t="s">
        <v>1501</v>
      </c>
      <c r="F589" s="15" t="str">
        <f>CONCATENATE(Tabla1[[#This Row],[NOMBRE_MPIO]]," (",Tabla1[[#This Row],[NOMBRE_DEPTO]],")")</f>
        <v>MOÑITOS (CORDOBA)</v>
      </c>
      <c r="G589" s="19" t="s">
        <v>1501</v>
      </c>
    </row>
    <row r="590" spans="1:7" x14ac:dyDescent="0.15">
      <c r="A590" s="19">
        <v>13</v>
      </c>
      <c r="B590" s="14" t="s">
        <v>37</v>
      </c>
      <c r="C590" s="14" t="s">
        <v>236</v>
      </c>
      <c r="D590" s="14" t="s">
        <v>1502</v>
      </c>
      <c r="E590" s="14" t="s">
        <v>1503</v>
      </c>
      <c r="F590" s="15" t="str">
        <f>CONCATENATE(Tabla1[[#This Row],[NOMBRE_MPIO]]," (",Tabla1[[#This Row],[NOMBRE_DEPTO]],")")</f>
        <v>MORALES (BOLIVAR)</v>
      </c>
      <c r="G590" s="19" t="s">
        <v>1503</v>
      </c>
    </row>
    <row r="591" spans="1:7" x14ac:dyDescent="0.15">
      <c r="A591" s="19">
        <v>19</v>
      </c>
      <c r="B591" s="14" t="s">
        <v>109</v>
      </c>
      <c r="C591" s="14" t="s">
        <v>42</v>
      </c>
      <c r="D591" s="14" t="s">
        <v>1502</v>
      </c>
      <c r="E591" s="14" t="s">
        <v>1504</v>
      </c>
      <c r="F591" s="15" t="str">
        <f>CONCATENATE(Tabla1[[#This Row],[NOMBRE_MPIO]]," (",Tabla1[[#This Row],[NOMBRE_DEPTO]],")")</f>
        <v>MORALES (CAUCA)</v>
      </c>
      <c r="G591" s="19" t="s">
        <v>1504</v>
      </c>
    </row>
    <row r="592" spans="1:7" x14ac:dyDescent="0.15">
      <c r="A592" s="19">
        <v>18</v>
      </c>
      <c r="B592" s="14" t="s">
        <v>84</v>
      </c>
      <c r="C592" s="14" t="s">
        <v>84</v>
      </c>
      <c r="D592" s="14" t="s">
        <v>1505</v>
      </c>
      <c r="E592" s="14" t="s">
        <v>1506</v>
      </c>
      <c r="F592" s="15" t="str">
        <f>CONCATENATE(Tabla1[[#This Row],[NOMBRE_MPIO]]," (",Tabla1[[#This Row],[NOMBRE_DEPTO]],")")</f>
        <v>MORELIA (CAQUETA)</v>
      </c>
      <c r="G592" s="19" t="s">
        <v>1506</v>
      </c>
    </row>
    <row r="593" spans="1:7" x14ac:dyDescent="0.15">
      <c r="A593" s="19">
        <v>94</v>
      </c>
      <c r="B593" s="14" t="s">
        <v>330</v>
      </c>
      <c r="D593" s="14" t="s">
        <v>1507</v>
      </c>
      <c r="E593" s="14" t="s">
        <v>1508</v>
      </c>
      <c r="F593" s="15" t="str">
        <f>CONCATENATE(Tabla1[[#This Row],[NOMBRE_MPIO]]," (",Tabla1[[#This Row],[NOMBRE_DEPTO]],")")</f>
        <v>MORICHAL (GUAINIA)</v>
      </c>
      <c r="G593" s="19" t="s">
        <v>1508</v>
      </c>
    </row>
    <row r="594" spans="1:7" x14ac:dyDescent="0.15">
      <c r="A594" s="19">
        <v>70</v>
      </c>
      <c r="B594" s="14" t="s">
        <v>443</v>
      </c>
      <c r="D594" s="14" t="s">
        <v>1509</v>
      </c>
      <c r="E594" s="14" t="s">
        <v>1510</v>
      </c>
      <c r="F594" s="15" t="str">
        <f>CONCATENATE(Tabla1[[#This Row],[NOMBRE_MPIO]]," (",Tabla1[[#This Row],[NOMBRE_DEPTO]],")")</f>
        <v>MORROA (SUCRE)</v>
      </c>
      <c r="G594" s="19" t="s">
        <v>1510</v>
      </c>
    </row>
    <row r="595" spans="1:7" x14ac:dyDescent="0.15">
      <c r="A595" s="19">
        <v>25</v>
      </c>
      <c r="B595" s="14" t="s">
        <v>46</v>
      </c>
      <c r="D595" s="14" t="s">
        <v>1511</v>
      </c>
      <c r="E595" s="14" t="s">
        <v>1512</v>
      </c>
      <c r="F595" s="15" t="str">
        <f>CONCATENATE(Tabla1[[#This Row],[NOMBRE_MPIO]]," (",Tabla1[[#This Row],[NOMBRE_DEPTO]],")")</f>
        <v>MOSQUERA (CUNDINAMARCA)</v>
      </c>
      <c r="G595" s="19" t="s">
        <v>1512</v>
      </c>
    </row>
    <row r="596" spans="1:7" x14ac:dyDescent="0.15">
      <c r="A596" s="19">
        <v>52</v>
      </c>
      <c r="B596" s="14" t="s">
        <v>80</v>
      </c>
      <c r="D596" s="14" t="s">
        <v>1511</v>
      </c>
      <c r="E596" s="14" t="s">
        <v>1513</v>
      </c>
      <c r="F596" s="15" t="str">
        <f>CONCATENATE(Tabla1[[#This Row],[NOMBRE_MPIO]]," (",Tabla1[[#This Row],[NOMBRE_DEPTO]],")")</f>
        <v>MOSQUERA (NARIÑO)</v>
      </c>
      <c r="G596" s="19" t="s">
        <v>1513</v>
      </c>
    </row>
    <row r="597" spans="1:7" x14ac:dyDescent="0.15">
      <c r="A597" s="19">
        <v>15</v>
      </c>
      <c r="B597" s="14" t="s">
        <v>113</v>
      </c>
      <c r="C597" s="14" t="s">
        <v>42</v>
      </c>
      <c r="D597" s="14" t="s">
        <v>1514</v>
      </c>
      <c r="E597" s="14" t="s">
        <v>1515</v>
      </c>
      <c r="F597" s="15" t="str">
        <f>CONCATENATE(Tabla1[[#This Row],[NOMBRE_MPIO]]," (",Tabla1[[#This Row],[NOMBRE_DEPTO]],")")</f>
        <v>MOTAVITA (BOYACÁ)</v>
      </c>
      <c r="G597" s="19" t="s">
        <v>1515</v>
      </c>
    </row>
    <row r="598" spans="1:7" x14ac:dyDescent="0.15">
      <c r="A598" s="19">
        <v>73</v>
      </c>
      <c r="B598" s="14" t="s">
        <v>117</v>
      </c>
      <c r="D598" s="14" t="s">
        <v>1516</v>
      </c>
      <c r="E598" s="14" t="s">
        <v>1517</v>
      </c>
      <c r="F598" s="15" t="str">
        <f>CONCATENATE(Tabla1[[#This Row],[NOMBRE_MPIO]]," (",Tabla1[[#This Row],[NOMBRE_DEPTO]],")")</f>
        <v>MURILLO (TOLIMA)</v>
      </c>
      <c r="G598" s="19" t="s">
        <v>1517</v>
      </c>
    </row>
    <row r="599" spans="1:7" x14ac:dyDescent="0.15">
      <c r="A599" s="19">
        <v>5</v>
      </c>
      <c r="B599" s="14" t="s">
        <v>9</v>
      </c>
      <c r="C599" s="14" t="s">
        <v>187</v>
      </c>
      <c r="D599" s="14" t="s">
        <v>1518</v>
      </c>
      <c r="E599" s="14" t="s">
        <v>1519</v>
      </c>
      <c r="F599" s="15" t="str">
        <f>CONCATENATE(Tabla1[[#This Row],[NOMBRE_MPIO]]," (",Tabla1[[#This Row],[NOMBRE_DEPTO]],")")</f>
        <v>MURINDÓ (ANTIOQUIA)</v>
      </c>
      <c r="G599" s="19" t="s">
        <v>1519</v>
      </c>
    </row>
    <row r="600" spans="1:7" x14ac:dyDescent="0.15">
      <c r="A600" s="19">
        <v>5</v>
      </c>
      <c r="B600" s="14" t="s">
        <v>9</v>
      </c>
      <c r="C600" s="14" t="s">
        <v>187</v>
      </c>
      <c r="D600" s="14" t="s">
        <v>1520</v>
      </c>
      <c r="E600" s="14" t="s">
        <v>1521</v>
      </c>
      <c r="F600" s="15" t="str">
        <f>CONCATENATE(Tabla1[[#This Row],[NOMBRE_MPIO]]," (",Tabla1[[#This Row],[NOMBRE_DEPTO]],")")</f>
        <v>MUTATA (ANTIOQUIA)</v>
      </c>
      <c r="G600" s="19" t="s">
        <v>1521</v>
      </c>
    </row>
    <row r="601" spans="1:7" x14ac:dyDescent="0.15">
      <c r="A601" s="19">
        <v>54</v>
      </c>
      <c r="B601" s="14" t="s">
        <v>14</v>
      </c>
      <c r="D601" s="14" t="s">
        <v>1522</v>
      </c>
      <c r="E601" s="14" t="s">
        <v>1523</v>
      </c>
      <c r="F601" s="15" t="str">
        <f>CONCATENATE(Tabla1[[#This Row],[NOMBRE_MPIO]]," (",Tabla1[[#This Row],[NOMBRE_DEPTO]],")")</f>
        <v>MUTISCUA (NORTE DE SANTANDER)</v>
      </c>
      <c r="G601" s="19" t="s">
        <v>1523</v>
      </c>
    </row>
    <row r="602" spans="1:7" x14ac:dyDescent="0.15">
      <c r="A602" s="19">
        <v>15</v>
      </c>
      <c r="B602" s="14" t="s">
        <v>113</v>
      </c>
      <c r="C602" s="14" t="s">
        <v>15</v>
      </c>
      <c r="D602" s="14" t="s">
        <v>1524</v>
      </c>
      <c r="E602" s="14" t="s">
        <v>1525</v>
      </c>
      <c r="F602" s="15" t="str">
        <f>CONCATENATE(Tabla1[[#This Row],[NOMBRE_MPIO]]," (",Tabla1[[#This Row],[NOMBRE_DEPTO]],")")</f>
        <v>MUZO (BOYACÁ)</v>
      </c>
      <c r="G602" s="19" t="s">
        <v>1525</v>
      </c>
    </row>
    <row r="603" spans="1:7" x14ac:dyDescent="0.15">
      <c r="A603" s="19">
        <v>5</v>
      </c>
      <c r="B603" s="14" t="s">
        <v>9</v>
      </c>
      <c r="C603" s="14" t="s">
        <v>10</v>
      </c>
      <c r="D603" s="14" t="s">
        <v>80</v>
      </c>
      <c r="E603" s="14" t="s">
        <v>1526</v>
      </c>
      <c r="F603" s="15" t="str">
        <f>CONCATENATE(Tabla1[[#This Row],[NOMBRE_MPIO]]," (",Tabla1[[#This Row],[NOMBRE_DEPTO]],")")</f>
        <v>NARIÑO (ANTIOQUIA)</v>
      </c>
      <c r="G603" s="19" t="s">
        <v>1526</v>
      </c>
    </row>
    <row r="604" spans="1:7" x14ac:dyDescent="0.15">
      <c r="A604" s="19">
        <v>25</v>
      </c>
      <c r="B604" s="14" t="s">
        <v>46</v>
      </c>
      <c r="D604" s="14" t="s">
        <v>80</v>
      </c>
      <c r="E604" s="14" t="s">
        <v>1527</v>
      </c>
      <c r="F604" s="15" t="str">
        <f>CONCATENATE(Tabla1[[#This Row],[NOMBRE_MPIO]]," (",Tabla1[[#This Row],[NOMBRE_DEPTO]],")")</f>
        <v>NARIÑO (CUNDINAMARCA)</v>
      </c>
      <c r="G604" s="19" t="s">
        <v>1527</v>
      </c>
    </row>
    <row r="605" spans="1:7" x14ac:dyDescent="0.15">
      <c r="A605" s="19">
        <v>52</v>
      </c>
      <c r="B605" s="14" t="s">
        <v>80</v>
      </c>
      <c r="D605" s="14" t="s">
        <v>80</v>
      </c>
      <c r="E605" s="14" t="s">
        <v>1528</v>
      </c>
      <c r="F605" s="15" t="str">
        <f>CONCATENATE(Tabla1[[#This Row],[NOMBRE_MPIO]]," (",Tabla1[[#This Row],[NOMBRE_DEPTO]],")")</f>
        <v>NARIÑO (NARIÑO)</v>
      </c>
      <c r="G605" s="19" t="s">
        <v>1528</v>
      </c>
    </row>
    <row r="606" spans="1:7" x14ac:dyDescent="0.15">
      <c r="A606" s="19">
        <v>41</v>
      </c>
      <c r="B606" s="14" t="s">
        <v>32</v>
      </c>
      <c r="D606" s="14" t="s">
        <v>1529</v>
      </c>
      <c r="E606" s="14" t="s">
        <v>1530</v>
      </c>
      <c r="F606" s="15" t="str">
        <f>CONCATENATE(Tabla1[[#This Row],[NOMBRE_MPIO]]," (",Tabla1[[#This Row],[NOMBRE_DEPTO]],")")</f>
        <v>NÁTAGA (HUILA)</v>
      </c>
      <c r="G606" s="19" t="s">
        <v>1530</v>
      </c>
    </row>
    <row r="607" spans="1:7" x14ac:dyDescent="0.15">
      <c r="A607" s="19">
        <v>73</v>
      </c>
      <c r="B607" s="14" t="s">
        <v>117</v>
      </c>
      <c r="D607" s="14" t="s">
        <v>1531</v>
      </c>
      <c r="E607" s="14" t="s">
        <v>1532</v>
      </c>
      <c r="F607" s="15" t="str">
        <f>CONCATENATE(Tabla1[[#This Row],[NOMBRE_MPIO]]," (",Tabla1[[#This Row],[NOMBRE_DEPTO]],")")</f>
        <v>NATAGAIMA (TOLIMA)</v>
      </c>
      <c r="G607" s="19" t="s">
        <v>1532</v>
      </c>
    </row>
    <row r="608" spans="1:7" x14ac:dyDescent="0.15">
      <c r="A608" s="19">
        <v>5</v>
      </c>
      <c r="B608" s="14" t="s">
        <v>9</v>
      </c>
      <c r="C608" s="14" t="s">
        <v>477</v>
      </c>
      <c r="D608" s="14" t="s">
        <v>1533</v>
      </c>
      <c r="E608" s="14" t="s">
        <v>1534</v>
      </c>
      <c r="F608" s="15" t="str">
        <f>CONCATENATE(Tabla1[[#This Row],[NOMBRE_MPIO]]," (",Tabla1[[#This Row],[NOMBRE_DEPTO]],")")</f>
        <v>NECHÍ (ANTIOQUIA)</v>
      </c>
      <c r="G608" s="19" t="s">
        <v>1534</v>
      </c>
    </row>
    <row r="609" spans="1:7" x14ac:dyDescent="0.15">
      <c r="A609" s="19">
        <v>5</v>
      </c>
      <c r="B609" s="14" t="s">
        <v>9</v>
      </c>
      <c r="C609" s="14" t="s">
        <v>187</v>
      </c>
      <c r="D609" s="14" t="s">
        <v>1535</v>
      </c>
      <c r="E609" s="14" t="s">
        <v>1536</v>
      </c>
      <c r="F609" s="15" t="str">
        <f>CONCATENATE(Tabla1[[#This Row],[NOMBRE_MPIO]]," (",Tabla1[[#This Row],[NOMBRE_DEPTO]],")")</f>
        <v>NECOCLÍ (ANTIOQUIA)</v>
      </c>
      <c r="G609" s="19" t="s">
        <v>1536</v>
      </c>
    </row>
    <row r="610" spans="1:7" x14ac:dyDescent="0.15">
      <c r="A610" s="19">
        <v>17</v>
      </c>
      <c r="B610" s="14" t="s">
        <v>61</v>
      </c>
      <c r="C610" s="14" t="s">
        <v>42</v>
      </c>
      <c r="D610" s="14" t="s">
        <v>700</v>
      </c>
      <c r="E610" s="14" t="s">
        <v>1537</v>
      </c>
      <c r="F610" s="15" t="str">
        <f>CONCATENATE(Tabla1[[#This Row],[NOMBRE_MPIO]]," (",Tabla1[[#This Row],[NOMBRE_DEPTO]],")")</f>
        <v>NEIRA (CALDAS)</v>
      </c>
      <c r="G610" s="19" t="s">
        <v>1537</v>
      </c>
    </row>
    <row r="611" spans="1:7" x14ac:dyDescent="0.15">
      <c r="A611" s="19">
        <v>41</v>
      </c>
      <c r="B611" s="14" t="s">
        <v>32</v>
      </c>
      <c r="D611" s="14" t="s">
        <v>1538</v>
      </c>
      <c r="E611" s="14" t="s">
        <v>1539</v>
      </c>
      <c r="F611" s="15" t="str">
        <f>CONCATENATE(Tabla1[[#This Row],[NOMBRE_MPIO]]," (",Tabla1[[#This Row],[NOMBRE_DEPTO]],")")</f>
        <v>NEIVA (HUILA)</v>
      </c>
      <c r="G611" s="19" t="s">
        <v>1539</v>
      </c>
    </row>
    <row r="612" spans="1:7" x14ac:dyDescent="0.15">
      <c r="A612" s="19">
        <v>25</v>
      </c>
      <c r="B612" s="14" t="s">
        <v>46</v>
      </c>
      <c r="D612" s="14" t="s">
        <v>1540</v>
      </c>
      <c r="E612" s="14" t="s">
        <v>1541</v>
      </c>
      <c r="F612" s="15" t="str">
        <f>CONCATENATE(Tabla1[[#This Row],[NOMBRE_MPIO]]," (",Tabla1[[#This Row],[NOMBRE_DEPTO]],")")</f>
        <v>NEMOCoN (CUNDINAMARCA)</v>
      </c>
      <c r="G612" s="19" t="s">
        <v>1541</v>
      </c>
    </row>
    <row r="613" spans="1:7" x14ac:dyDescent="0.15">
      <c r="A613" s="19">
        <v>25</v>
      </c>
      <c r="B613" s="14" t="s">
        <v>46</v>
      </c>
      <c r="D613" s="14" t="s">
        <v>1542</v>
      </c>
      <c r="E613" s="14" t="s">
        <v>1543</v>
      </c>
      <c r="F613" s="15" t="str">
        <f>CONCATENATE(Tabla1[[#This Row],[NOMBRE_MPIO]]," (",Tabla1[[#This Row],[NOMBRE_DEPTO]],")")</f>
        <v>NILO (CUNDINAMARCA)</v>
      </c>
      <c r="G613" s="19" t="s">
        <v>1543</v>
      </c>
    </row>
    <row r="614" spans="1:7" x14ac:dyDescent="0.15">
      <c r="A614" s="19">
        <v>25</v>
      </c>
      <c r="B614" s="14" t="s">
        <v>46</v>
      </c>
      <c r="D614" s="14" t="s">
        <v>1544</v>
      </c>
      <c r="E614" s="14" t="s">
        <v>1545</v>
      </c>
      <c r="F614" s="15" t="str">
        <f>CONCATENATE(Tabla1[[#This Row],[NOMBRE_MPIO]]," (",Tabla1[[#This Row],[NOMBRE_DEPTO]],")")</f>
        <v>NIMAIMA (CUNDINAMARCA)</v>
      </c>
      <c r="G614" s="19" t="s">
        <v>1545</v>
      </c>
    </row>
    <row r="615" spans="1:7" x14ac:dyDescent="0.15">
      <c r="A615" s="19">
        <v>15</v>
      </c>
      <c r="B615" s="14" t="s">
        <v>113</v>
      </c>
      <c r="C615" s="14" t="s">
        <v>199</v>
      </c>
      <c r="D615" s="14" t="s">
        <v>1546</v>
      </c>
      <c r="E615" s="14" t="s">
        <v>1547</v>
      </c>
      <c r="F615" s="15" t="str">
        <f>CONCATENATE(Tabla1[[#This Row],[NOMBRE_MPIO]]," (",Tabla1[[#This Row],[NOMBRE_DEPTO]],")")</f>
        <v>NOBSA (BOYACÁ)</v>
      </c>
      <c r="G615" s="19" t="s">
        <v>1547</v>
      </c>
    </row>
    <row r="616" spans="1:7" x14ac:dyDescent="0.15">
      <c r="A616" s="19">
        <v>25</v>
      </c>
      <c r="B616" s="14" t="s">
        <v>46</v>
      </c>
      <c r="D616" s="14" t="s">
        <v>1548</v>
      </c>
      <c r="E616" s="14" t="s">
        <v>1549</v>
      </c>
      <c r="F616" s="15" t="str">
        <f>CONCATENATE(Tabla1[[#This Row],[NOMBRE_MPIO]]," (",Tabla1[[#This Row],[NOMBRE_DEPTO]],")")</f>
        <v>NOCAIMA (CUNDINAMARCA)</v>
      </c>
      <c r="G616" s="19" t="s">
        <v>1549</v>
      </c>
    </row>
    <row r="617" spans="1:7" x14ac:dyDescent="0.15">
      <c r="A617" s="19">
        <v>17</v>
      </c>
      <c r="B617" s="14" t="s">
        <v>61</v>
      </c>
      <c r="C617" s="14" t="s">
        <v>10</v>
      </c>
      <c r="D617" s="14" t="s">
        <v>1550</v>
      </c>
      <c r="E617" s="14" t="s">
        <v>1551</v>
      </c>
      <c r="F617" s="15" t="str">
        <f>CONCATENATE(Tabla1[[#This Row],[NOMBRE_MPIO]]," (",Tabla1[[#This Row],[NOMBRE_DEPTO]],")")</f>
        <v>NORCASIA (CALDAS)</v>
      </c>
      <c r="G617" s="19" t="s">
        <v>1551</v>
      </c>
    </row>
    <row r="618" spans="1:7" x14ac:dyDescent="0.15">
      <c r="A618" s="19">
        <v>27</v>
      </c>
      <c r="B618" s="14" t="s">
        <v>27</v>
      </c>
      <c r="D618" s="14" t="s">
        <v>1552</v>
      </c>
      <c r="E618" s="14" t="s">
        <v>1553</v>
      </c>
      <c r="F618" s="15" t="str">
        <f>CONCATENATE(Tabla1[[#This Row],[NOMBRE_MPIO]]," (",Tabla1[[#This Row],[NOMBRE_DEPTO]],")")</f>
        <v>NÓVITA (CHOCO)</v>
      </c>
      <c r="G618" s="19" t="s">
        <v>1553</v>
      </c>
    </row>
    <row r="619" spans="1:7" x14ac:dyDescent="0.15">
      <c r="A619" s="19">
        <v>47</v>
      </c>
      <c r="B619" s="14" t="s">
        <v>102</v>
      </c>
      <c r="D619" s="14" t="s">
        <v>1554</v>
      </c>
      <c r="E619" s="14" t="s">
        <v>1555</v>
      </c>
      <c r="F619" s="15" t="str">
        <f>CONCATENATE(Tabla1[[#This Row],[NOMBRE_MPIO]]," (",Tabla1[[#This Row],[NOMBRE_DEPTO]],")")</f>
        <v>NUEVA GRANADA (MAGDALENA)</v>
      </c>
      <c r="G619" s="19" t="s">
        <v>1555</v>
      </c>
    </row>
    <row r="620" spans="1:7" x14ac:dyDescent="0.15">
      <c r="A620" s="19">
        <v>15</v>
      </c>
      <c r="B620" s="14" t="s">
        <v>113</v>
      </c>
      <c r="C620" s="14" t="s">
        <v>418</v>
      </c>
      <c r="D620" s="14" t="s">
        <v>1556</v>
      </c>
      <c r="E620" s="14" t="s">
        <v>1557</v>
      </c>
      <c r="F620" s="15" t="str">
        <f>CONCATENATE(Tabla1[[#This Row],[NOMBRE_MPIO]]," (",Tabla1[[#This Row],[NOMBRE_DEPTO]],")")</f>
        <v>NUEVO COLÓN (BOYACÁ)</v>
      </c>
      <c r="G620" s="19" t="s">
        <v>1557</v>
      </c>
    </row>
    <row r="621" spans="1:7" x14ac:dyDescent="0.15">
      <c r="A621" s="19">
        <v>85</v>
      </c>
      <c r="B621" s="14" t="s">
        <v>66</v>
      </c>
      <c r="C621" s="14" t="s">
        <v>66</v>
      </c>
      <c r="D621" s="14" t="s">
        <v>1558</v>
      </c>
      <c r="E621" s="14" t="s">
        <v>1559</v>
      </c>
      <c r="F621" s="15" t="str">
        <f>CONCATENATE(Tabla1[[#This Row],[NOMBRE_MPIO]]," (",Tabla1[[#This Row],[NOMBRE_DEPTO]],")")</f>
        <v>NUNCHÍA (CASANARE)</v>
      </c>
      <c r="G621" s="19" t="s">
        <v>1559</v>
      </c>
    </row>
    <row r="622" spans="1:7" x14ac:dyDescent="0.15">
      <c r="A622" s="19">
        <v>27</v>
      </c>
      <c r="B622" s="14" t="s">
        <v>27</v>
      </c>
      <c r="C622" s="14" t="s">
        <v>284</v>
      </c>
      <c r="D622" s="14" t="s">
        <v>1560</v>
      </c>
      <c r="E622" s="14" t="s">
        <v>1561</v>
      </c>
      <c r="F622" s="15" t="str">
        <f>CONCATENATE(Tabla1[[#This Row],[NOMBRE_MPIO]]," (",Tabla1[[#This Row],[NOMBRE_DEPTO]],")")</f>
        <v>NUQUÍ (CHOCO)</v>
      </c>
      <c r="G622" s="19" t="s">
        <v>1561</v>
      </c>
    </row>
    <row r="623" spans="1:7" x14ac:dyDescent="0.15">
      <c r="A623" s="19">
        <v>76</v>
      </c>
      <c r="B623" s="14" t="s">
        <v>92</v>
      </c>
      <c r="D623" s="14" t="s">
        <v>1562</v>
      </c>
      <c r="E623" s="14" t="s">
        <v>1563</v>
      </c>
      <c r="F623" s="15" t="str">
        <f>CONCATENATE(Tabla1[[#This Row],[NOMBRE_MPIO]]," (",Tabla1[[#This Row],[NOMBRE_DEPTO]],")")</f>
        <v>OBANDO (VALLE DEL CAUCA)</v>
      </c>
      <c r="G623" s="19" t="s">
        <v>1563</v>
      </c>
    </row>
    <row r="624" spans="1:7" x14ac:dyDescent="0.15">
      <c r="A624" s="19">
        <v>68</v>
      </c>
      <c r="B624" s="14" t="s">
        <v>56</v>
      </c>
      <c r="D624" s="14" t="s">
        <v>1564</v>
      </c>
      <c r="E624" s="14" t="s">
        <v>1565</v>
      </c>
      <c r="F624" s="15" t="str">
        <f>CONCATENATE(Tabla1[[#This Row],[NOMBRE_MPIO]]," (",Tabla1[[#This Row],[NOMBRE_DEPTO]],")")</f>
        <v>OCAMONTE (SANTANDER)</v>
      </c>
      <c r="G624" s="19" t="s">
        <v>1565</v>
      </c>
    </row>
    <row r="625" spans="1:7" x14ac:dyDescent="0.15">
      <c r="A625" s="19">
        <v>54</v>
      </c>
      <c r="B625" s="14" t="s">
        <v>14</v>
      </c>
      <c r="D625" s="14" t="s">
        <v>1566</v>
      </c>
      <c r="E625" s="14" t="s">
        <v>1567</v>
      </c>
      <c r="F625" s="15" t="str">
        <f>CONCATENATE(Tabla1[[#This Row],[NOMBRE_MPIO]]," (",Tabla1[[#This Row],[NOMBRE_DEPTO]],")")</f>
        <v>OCAÑA (NORTE DE SANTANDER)</v>
      </c>
      <c r="G625" s="19" t="s">
        <v>1567</v>
      </c>
    </row>
    <row r="626" spans="1:7" x14ac:dyDescent="0.15">
      <c r="A626" s="19">
        <v>68</v>
      </c>
      <c r="B626" s="14" t="s">
        <v>56</v>
      </c>
      <c r="D626" s="14" t="s">
        <v>1568</v>
      </c>
      <c r="E626" s="14" t="s">
        <v>1569</v>
      </c>
      <c r="F626" s="15" t="str">
        <f>CONCATENATE(Tabla1[[#This Row],[NOMBRE_MPIO]]," (",Tabla1[[#This Row],[NOMBRE_DEPTO]],")")</f>
        <v>OIBA (SANTANDER)</v>
      </c>
      <c r="G626" s="19" t="s">
        <v>1569</v>
      </c>
    </row>
    <row r="627" spans="1:7" x14ac:dyDescent="0.15">
      <c r="A627" s="19">
        <v>15</v>
      </c>
      <c r="B627" s="14" t="s">
        <v>113</v>
      </c>
      <c r="C627" s="14" t="s">
        <v>42</v>
      </c>
      <c r="D627" s="14" t="s">
        <v>1570</v>
      </c>
      <c r="E627" s="14" t="s">
        <v>1571</v>
      </c>
      <c r="F627" s="15" t="str">
        <f>CONCATENATE(Tabla1[[#This Row],[NOMBRE_MPIO]]," (",Tabla1[[#This Row],[NOMBRE_DEPTO]],")")</f>
        <v>OICATÁ (BOYACÁ)</v>
      </c>
      <c r="G627" s="19" t="s">
        <v>1571</v>
      </c>
    </row>
    <row r="628" spans="1:7" x14ac:dyDescent="0.15">
      <c r="A628" s="19">
        <v>5</v>
      </c>
      <c r="B628" s="14" t="s">
        <v>9</v>
      </c>
      <c r="C628" s="14" t="s">
        <v>15</v>
      </c>
      <c r="D628" s="14" t="s">
        <v>1572</v>
      </c>
      <c r="E628" s="14" t="s">
        <v>1573</v>
      </c>
      <c r="F628" s="15" t="str">
        <f>CONCATENATE(Tabla1[[#This Row],[NOMBRE_MPIO]]," (",Tabla1[[#This Row],[NOMBRE_DEPTO]],")")</f>
        <v>OLAYA (ANTIOQUIA)</v>
      </c>
      <c r="G628" s="19" t="s">
        <v>1573</v>
      </c>
    </row>
    <row r="629" spans="1:7" x14ac:dyDescent="0.15">
      <c r="A629" s="19">
        <v>52</v>
      </c>
      <c r="B629" s="14" t="s">
        <v>80</v>
      </c>
      <c r="D629" s="14" t="s">
        <v>1574</v>
      </c>
      <c r="E629" s="14" t="s">
        <v>1575</v>
      </c>
      <c r="F629" s="15" t="str">
        <f>CONCATENATE(Tabla1[[#This Row],[NOMBRE_MPIO]]," (",Tabla1[[#This Row],[NOMBRE_DEPTO]],")")</f>
        <v>OLAYA HERRERA (NARIÑO)</v>
      </c>
      <c r="G629" s="19" t="s">
        <v>1575</v>
      </c>
    </row>
    <row r="630" spans="1:7" x14ac:dyDescent="0.15">
      <c r="A630" s="19">
        <v>68</v>
      </c>
      <c r="B630" s="14" t="s">
        <v>56</v>
      </c>
      <c r="D630" s="14" t="s">
        <v>1576</v>
      </c>
      <c r="E630" s="14" t="s">
        <v>1577</v>
      </c>
      <c r="F630" s="15" t="str">
        <f>CONCATENATE(Tabla1[[#This Row],[NOMBRE_MPIO]]," (",Tabla1[[#This Row],[NOMBRE_DEPTO]],")")</f>
        <v>ONZAGA (SANTANDER)</v>
      </c>
      <c r="G630" s="19" t="s">
        <v>1577</v>
      </c>
    </row>
    <row r="631" spans="1:7" x14ac:dyDescent="0.15">
      <c r="A631" s="19">
        <v>41</v>
      </c>
      <c r="B631" s="14" t="s">
        <v>32</v>
      </c>
      <c r="D631" s="14" t="s">
        <v>1578</v>
      </c>
      <c r="E631" s="14" t="s">
        <v>1579</v>
      </c>
      <c r="F631" s="15" t="str">
        <f>CONCATENATE(Tabla1[[#This Row],[NOMBRE_MPIO]]," (",Tabla1[[#This Row],[NOMBRE_DEPTO]],")")</f>
        <v>OPORAPA (HUILA)</v>
      </c>
      <c r="G631" s="19" t="s">
        <v>1579</v>
      </c>
    </row>
    <row r="632" spans="1:7" x14ac:dyDescent="0.15">
      <c r="A632" s="19">
        <v>86</v>
      </c>
      <c r="B632" s="14" t="s">
        <v>793</v>
      </c>
      <c r="D632" s="14" t="s">
        <v>1580</v>
      </c>
      <c r="E632" s="14" t="s">
        <v>1581</v>
      </c>
      <c r="F632" s="15" t="str">
        <f>CONCATENATE(Tabla1[[#This Row],[NOMBRE_MPIO]]," (",Tabla1[[#This Row],[NOMBRE_DEPTO]],")")</f>
        <v>ORITO (PUTUMAYO)</v>
      </c>
      <c r="G632" s="19" t="s">
        <v>1581</v>
      </c>
    </row>
    <row r="633" spans="1:7" x14ac:dyDescent="0.15">
      <c r="A633" s="19">
        <v>85</v>
      </c>
      <c r="B633" s="14" t="s">
        <v>66</v>
      </c>
      <c r="C633" s="14" t="s">
        <v>66</v>
      </c>
      <c r="D633" s="14" t="s">
        <v>1582</v>
      </c>
      <c r="E633" s="14" t="s">
        <v>1583</v>
      </c>
      <c r="F633" s="15" t="str">
        <f>CONCATENATE(Tabla1[[#This Row],[NOMBRE_MPIO]]," (",Tabla1[[#This Row],[NOMBRE_DEPTO]],")")</f>
        <v>OROCUÉ (CASANARE)</v>
      </c>
      <c r="G633" s="19" t="s">
        <v>1583</v>
      </c>
    </row>
    <row r="634" spans="1:7" x14ac:dyDescent="0.15">
      <c r="A634" s="19">
        <v>73</v>
      </c>
      <c r="B634" s="14" t="s">
        <v>117</v>
      </c>
      <c r="D634" s="14" t="s">
        <v>1584</v>
      </c>
      <c r="E634" s="14" t="s">
        <v>1585</v>
      </c>
      <c r="F634" s="15" t="str">
        <f>CONCATENATE(Tabla1[[#This Row],[NOMBRE_MPIO]]," (",Tabla1[[#This Row],[NOMBRE_DEPTO]],")")</f>
        <v>ORTEGA (TOLIMA)</v>
      </c>
      <c r="G634" s="19" t="s">
        <v>1585</v>
      </c>
    </row>
    <row r="635" spans="1:7" x14ac:dyDescent="0.15">
      <c r="A635" s="19">
        <v>52</v>
      </c>
      <c r="B635" s="14" t="s">
        <v>80</v>
      </c>
      <c r="D635" s="14" t="s">
        <v>1586</v>
      </c>
      <c r="E635" s="14" t="s">
        <v>1587</v>
      </c>
      <c r="F635" s="15" t="str">
        <f>CONCATENATE(Tabla1[[#This Row],[NOMBRE_MPIO]]," (",Tabla1[[#This Row],[NOMBRE_DEPTO]],")")</f>
        <v>OSPINA (NARIÑO)</v>
      </c>
      <c r="G635" s="19" t="s">
        <v>1587</v>
      </c>
    </row>
    <row r="636" spans="1:7" x14ac:dyDescent="0.15">
      <c r="A636" s="19">
        <v>15</v>
      </c>
      <c r="B636" s="14" t="s">
        <v>113</v>
      </c>
      <c r="C636" s="14" t="s">
        <v>15</v>
      </c>
      <c r="D636" s="14" t="s">
        <v>1588</v>
      </c>
      <c r="E636" s="14" t="s">
        <v>1589</v>
      </c>
      <c r="F636" s="15" t="str">
        <f>CONCATENATE(Tabla1[[#This Row],[NOMBRE_MPIO]]," (",Tabla1[[#This Row],[NOMBRE_DEPTO]],")")</f>
        <v>OTANCHE (BOYACÁ)</v>
      </c>
      <c r="G636" s="19" t="s">
        <v>1589</v>
      </c>
    </row>
    <row r="637" spans="1:7" x14ac:dyDescent="0.15">
      <c r="A637" s="19">
        <v>70</v>
      </c>
      <c r="B637" s="14" t="s">
        <v>443</v>
      </c>
      <c r="D637" s="14" t="s">
        <v>1590</v>
      </c>
      <c r="E637" s="14" t="s">
        <v>1591</v>
      </c>
      <c r="F637" s="15" t="str">
        <f>CONCATENATE(Tabla1[[#This Row],[NOMBRE_MPIO]]," (",Tabla1[[#This Row],[NOMBRE_DEPTO]],")")</f>
        <v>OVEJAS (SUCRE)</v>
      </c>
      <c r="G637" s="19" t="s">
        <v>1591</v>
      </c>
    </row>
    <row r="638" spans="1:7" x14ac:dyDescent="0.15">
      <c r="A638" s="19">
        <v>15</v>
      </c>
      <c r="B638" s="14" t="s">
        <v>113</v>
      </c>
      <c r="C638" s="14" t="s">
        <v>700</v>
      </c>
      <c r="D638" s="14" t="s">
        <v>1592</v>
      </c>
      <c r="E638" s="14" t="s">
        <v>1593</v>
      </c>
      <c r="F638" s="15" t="str">
        <f>CONCATENATE(Tabla1[[#This Row],[NOMBRE_MPIO]]," (",Tabla1[[#This Row],[NOMBRE_DEPTO]],")")</f>
        <v>PACHAVITA (BOYACÁ)</v>
      </c>
      <c r="G638" s="19" t="s">
        <v>1593</v>
      </c>
    </row>
    <row r="639" spans="1:7" x14ac:dyDescent="0.15">
      <c r="A639" s="19">
        <v>25</v>
      </c>
      <c r="B639" s="14" t="s">
        <v>46</v>
      </c>
      <c r="D639" s="14" t="s">
        <v>1594</v>
      </c>
      <c r="E639" s="14" t="s">
        <v>1595</v>
      </c>
      <c r="F639" s="15" t="str">
        <f>CONCATENATE(Tabla1[[#This Row],[NOMBRE_MPIO]]," (",Tabla1[[#This Row],[NOMBRE_DEPTO]],")")</f>
        <v>PACHO (CUNDINAMARCA)</v>
      </c>
      <c r="G639" s="19" t="s">
        <v>1595</v>
      </c>
    </row>
    <row r="640" spans="1:7" x14ac:dyDescent="0.15">
      <c r="A640" s="19">
        <v>97</v>
      </c>
      <c r="B640" s="14" t="s">
        <v>622</v>
      </c>
      <c r="D640" s="14" t="s">
        <v>1596</v>
      </c>
      <c r="E640" s="14" t="s">
        <v>1597</v>
      </c>
      <c r="F640" s="15" t="str">
        <f>CONCATENATE(Tabla1[[#This Row],[NOMBRE_MPIO]]," (",Tabla1[[#This Row],[NOMBRE_DEPTO]],")")</f>
        <v>PACOA (VAUPES)</v>
      </c>
      <c r="G640" s="19" t="s">
        <v>1597</v>
      </c>
    </row>
    <row r="641" spans="1:7" x14ac:dyDescent="0.15">
      <c r="A641" s="19">
        <v>17</v>
      </c>
      <c r="B641" s="14" t="s">
        <v>61</v>
      </c>
      <c r="C641" s="14" t="s">
        <v>62</v>
      </c>
      <c r="D641" s="14" t="s">
        <v>1598</v>
      </c>
      <c r="E641" s="14" t="s">
        <v>1599</v>
      </c>
      <c r="F641" s="15" t="str">
        <f>CONCATENATE(Tabla1[[#This Row],[NOMBRE_MPIO]]," (",Tabla1[[#This Row],[NOMBRE_DEPTO]],")")</f>
        <v>PÁCORA (CALDAS)</v>
      </c>
      <c r="G641" s="19" t="s">
        <v>1599</v>
      </c>
    </row>
    <row r="642" spans="1:7" x14ac:dyDescent="0.15">
      <c r="A642" s="19">
        <v>19</v>
      </c>
      <c r="B642" s="14" t="s">
        <v>109</v>
      </c>
      <c r="C642" s="14" t="s">
        <v>62</v>
      </c>
      <c r="D642" s="14" t="s">
        <v>1600</v>
      </c>
      <c r="E642" s="14" t="s">
        <v>1601</v>
      </c>
      <c r="F642" s="15" t="str">
        <f>CONCATENATE(Tabla1[[#This Row],[NOMBRE_MPIO]]," (",Tabla1[[#This Row],[NOMBRE_DEPTO]],")")</f>
        <v>PADILLA (CAUCA)</v>
      </c>
      <c r="G642" s="19" t="s">
        <v>1601</v>
      </c>
    </row>
    <row r="643" spans="1:7" x14ac:dyDescent="0.15">
      <c r="A643" s="19">
        <v>15</v>
      </c>
      <c r="B643" s="14" t="s">
        <v>113</v>
      </c>
      <c r="C643" s="14" t="s">
        <v>370</v>
      </c>
      <c r="D643" s="14" t="s">
        <v>1602</v>
      </c>
      <c r="E643" s="14" t="s">
        <v>1603</v>
      </c>
      <c r="F643" s="15" t="str">
        <f>CONCATENATE(Tabla1[[#This Row],[NOMBRE_MPIO]]," (",Tabla1[[#This Row],[NOMBRE_DEPTO]],")")</f>
        <v>PÁEZ (BOYACÁ)</v>
      </c>
      <c r="G643" s="19" t="s">
        <v>1603</v>
      </c>
    </row>
    <row r="644" spans="1:7" x14ac:dyDescent="0.15">
      <c r="A644" s="19">
        <v>19</v>
      </c>
      <c r="B644" s="14" t="s">
        <v>109</v>
      </c>
      <c r="C644" s="14" t="s">
        <v>10</v>
      </c>
      <c r="D644" s="14" t="s">
        <v>1604</v>
      </c>
      <c r="E644" s="14" t="s">
        <v>1605</v>
      </c>
      <c r="F644" s="15" t="str">
        <f>CONCATENATE(Tabla1[[#This Row],[NOMBRE_MPIO]]," (",Tabla1[[#This Row],[NOMBRE_DEPTO]],")")</f>
        <v>PAEZ (CAUCA)</v>
      </c>
      <c r="G644" s="19" t="s">
        <v>1605</v>
      </c>
    </row>
    <row r="645" spans="1:7" x14ac:dyDescent="0.15">
      <c r="A645" s="19">
        <v>41</v>
      </c>
      <c r="B645" s="14" t="s">
        <v>32</v>
      </c>
      <c r="D645" s="14" t="s">
        <v>1606</v>
      </c>
      <c r="E645" s="14" t="s">
        <v>1607</v>
      </c>
      <c r="F645" s="15" t="str">
        <f>CONCATENATE(Tabla1[[#This Row],[NOMBRE_MPIO]]," (",Tabla1[[#This Row],[NOMBRE_DEPTO]],")")</f>
        <v>PAICOL (HUILA)</v>
      </c>
      <c r="G645" s="19" t="s">
        <v>1607</v>
      </c>
    </row>
    <row r="646" spans="1:7" x14ac:dyDescent="0.15">
      <c r="A646" s="19">
        <v>20</v>
      </c>
      <c r="B646" s="14" t="s">
        <v>51</v>
      </c>
      <c r="C646" s="14" t="s">
        <v>337</v>
      </c>
      <c r="D646" s="14" t="s">
        <v>1608</v>
      </c>
      <c r="E646" s="14" t="s">
        <v>1609</v>
      </c>
      <c r="F646" s="15" t="str">
        <f>CONCATENATE(Tabla1[[#This Row],[NOMBRE_MPIO]]," (",Tabla1[[#This Row],[NOMBRE_DEPTO]],")")</f>
        <v>PAILITAS (CESAR)</v>
      </c>
      <c r="G646" s="19" t="s">
        <v>1609</v>
      </c>
    </row>
    <row r="647" spans="1:7" x14ac:dyDescent="0.15">
      <c r="A647" s="19">
        <v>25</v>
      </c>
      <c r="B647" s="14" t="s">
        <v>46</v>
      </c>
      <c r="D647" s="14" t="s">
        <v>1610</v>
      </c>
      <c r="E647" s="14" t="s">
        <v>1611</v>
      </c>
      <c r="F647" s="15" t="str">
        <f>CONCATENATE(Tabla1[[#This Row],[NOMBRE_MPIO]]," (",Tabla1[[#This Row],[NOMBRE_DEPTO]],")")</f>
        <v>PAIME (CUNDINAMARCA)</v>
      </c>
      <c r="G647" s="19" t="s">
        <v>1611</v>
      </c>
    </row>
    <row r="648" spans="1:7" x14ac:dyDescent="0.15">
      <c r="A648" s="19">
        <v>15</v>
      </c>
      <c r="B648" s="14" t="s">
        <v>113</v>
      </c>
      <c r="C648" s="14" t="s">
        <v>344</v>
      </c>
      <c r="D648" s="14" t="s">
        <v>1612</v>
      </c>
      <c r="E648" s="14" t="s">
        <v>1613</v>
      </c>
      <c r="F648" s="15" t="str">
        <f>CONCATENATE(Tabla1[[#This Row],[NOMBRE_MPIO]]," (",Tabla1[[#This Row],[NOMBRE_DEPTO]],")")</f>
        <v>PAIPA (BOYACÁ)</v>
      </c>
      <c r="G648" s="19" t="s">
        <v>1613</v>
      </c>
    </row>
    <row r="649" spans="1:7" x14ac:dyDescent="0.15">
      <c r="A649" s="19">
        <v>15</v>
      </c>
      <c r="B649" s="14" t="s">
        <v>113</v>
      </c>
      <c r="C649" s="14" t="s">
        <v>1336</v>
      </c>
      <c r="D649" s="14" t="s">
        <v>1614</v>
      </c>
      <c r="E649" s="14" t="s">
        <v>1615</v>
      </c>
      <c r="F649" s="15" t="str">
        <f>CONCATENATE(Tabla1[[#This Row],[NOMBRE_MPIO]]," (",Tabla1[[#This Row],[NOMBRE_DEPTO]],")")</f>
        <v>PAJARITO (BOYACÁ)</v>
      </c>
      <c r="G649" s="19" t="s">
        <v>1615</v>
      </c>
    </row>
    <row r="650" spans="1:7" x14ac:dyDescent="0.15">
      <c r="A650" s="19">
        <v>41</v>
      </c>
      <c r="B650" s="14" t="s">
        <v>32</v>
      </c>
      <c r="D650" s="14" t="s">
        <v>1616</v>
      </c>
      <c r="E650" s="14" t="s">
        <v>1617</v>
      </c>
      <c r="F650" s="15" t="str">
        <f>CONCATENATE(Tabla1[[#This Row],[NOMBRE_MPIO]]," (",Tabla1[[#This Row],[NOMBRE_DEPTO]],")")</f>
        <v>PALERMO (HUILA)</v>
      </c>
      <c r="G650" s="19" t="s">
        <v>1617</v>
      </c>
    </row>
    <row r="651" spans="1:7" x14ac:dyDescent="0.15">
      <c r="A651" s="19">
        <v>17</v>
      </c>
      <c r="B651" s="14" t="s">
        <v>61</v>
      </c>
      <c r="C651" s="14" t="s">
        <v>42</v>
      </c>
      <c r="D651" s="14" t="s">
        <v>606</v>
      </c>
      <c r="E651" s="14" t="s">
        <v>1618</v>
      </c>
      <c r="F651" s="15" t="str">
        <f>CONCATENATE(Tabla1[[#This Row],[NOMBRE_MPIO]]," (",Tabla1[[#This Row],[NOMBRE_DEPTO]],")")</f>
        <v>PALESTINA (CALDAS)</v>
      </c>
      <c r="G651" s="19" t="s">
        <v>1618</v>
      </c>
    </row>
    <row r="652" spans="1:7" x14ac:dyDescent="0.15">
      <c r="A652" s="19">
        <v>41</v>
      </c>
      <c r="B652" s="14" t="s">
        <v>32</v>
      </c>
      <c r="D652" s="14" t="s">
        <v>606</v>
      </c>
      <c r="E652" s="14" t="s">
        <v>1619</v>
      </c>
      <c r="F652" s="15" t="str">
        <f>CONCATENATE(Tabla1[[#This Row],[NOMBRE_MPIO]]," (",Tabla1[[#This Row],[NOMBRE_DEPTO]],")")</f>
        <v>PALESTINA (HUILA)</v>
      </c>
      <c r="G652" s="19" t="s">
        <v>1619</v>
      </c>
    </row>
    <row r="653" spans="1:7" x14ac:dyDescent="0.15">
      <c r="A653" s="19">
        <v>68</v>
      </c>
      <c r="B653" s="14" t="s">
        <v>56</v>
      </c>
      <c r="D653" s="14" t="s">
        <v>1620</v>
      </c>
      <c r="E653" s="14" t="s">
        <v>1621</v>
      </c>
      <c r="F653" s="15" t="str">
        <f>CONCATENATE(Tabla1[[#This Row],[NOMBRE_MPIO]]," (",Tabla1[[#This Row],[NOMBRE_DEPTO]],")")</f>
        <v>PALMAR (SANTANDER)</v>
      </c>
      <c r="G653" s="19" t="s">
        <v>1621</v>
      </c>
    </row>
    <row r="654" spans="1:7" x14ac:dyDescent="0.15">
      <c r="A654" s="19">
        <v>8</v>
      </c>
      <c r="B654" s="14" t="s">
        <v>296</v>
      </c>
      <c r="C654" s="14" t="s">
        <v>297</v>
      </c>
      <c r="D654" s="14" t="s">
        <v>1622</v>
      </c>
      <c r="E654" s="14" t="s">
        <v>1623</v>
      </c>
      <c r="F654" s="15" t="str">
        <f>CONCATENATE(Tabla1[[#This Row],[NOMBRE_MPIO]]," (",Tabla1[[#This Row],[NOMBRE_DEPTO]],")")</f>
        <v>PALMAR DE VARELA (ATLÁNTICO)</v>
      </c>
      <c r="G654" s="19" t="s">
        <v>1623</v>
      </c>
    </row>
    <row r="655" spans="1:7" x14ac:dyDescent="0.15">
      <c r="A655" s="19">
        <v>68</v>
      </c>
      <c r="B655" s="14" t="s">
        <v>56</v>
      </c>
      <c r="D655" s="14" t="s">
        <v>1624</v>
      </c>
      <c r="E655" s="14" t="s">
        <v>1625</v>
      </c>
      <c r="F655" s="15" t="str">
        <f>CONCATENATE(Tabla1[[#This Row],[NOMBRE_MPIO]]," (",Tabla1[[#This Row],[NOMBRE_DEPTO]],")")</f>
        <v>PALMAS DEL SOCORRO (SANTANDER)</v>
      </c>
      <c r="G655" s="19" t="s">
        <v>1625</v>
      </c>
    </row>
    <row r="656" spans="1:7" x14ac:dyDescent="0.15">
      <c r="A656" s="19">
        <v>76</v>
      </c>
      <c r="B656" s="14" t="s">
        <v>92</v>
      </c>
      <c r="D656" s="14" t="s">
        <v>1626</v>
      </c>
      <c r="E656" s="14" t="s">
        <v>1627</v>
      </c>
      <c r="F656" s="15" t="str">
        <f>CONCATENATE(Tabla1[[#This Row],[NOMBRE_MPIO]]," (",Tabla1[[#This Row],[NOMBRE_DEPTO]],")")</f>
        <v>PALMIRA (VALLE DEL CAUCA)</v>
      </c>
      <c r="G656" s="19" t="s">
        <v>1627</v>
      </c>
    </row>
    <row r="657" spans="1:7" x14ac:dyDescent="0.15">
      <c r="A657" s="19">
        <v>70</v>
      </c>
      <c r="B657" s="14" t="s">
        <v>443</v>
      </c>
      <c r="D657" s="14" t="s">
        <v>1628</v>
      </c>
      <c r="E657" s="14" t="s">
        <v>1629</v>
      </c>
      <c r="F657" s="15" t="str">
        <f>CONCATENATE(Tabla1[[#This Row],[NOMBRE_MPIO]]," (",Tabla1[[#This Row],[NOMBRE_DEPTO]],")")</f>
        <v>PALMITO (SUCRE)</v>
      </c>
      <c r="G657" s="19" t="s">
        <v>1629</v>
      </c>
    </row>
    <row r="658" spans="1:7" x14ac:dyDescent="0.15">
      <c r="A658" s="19">
        <v>73</v>
      </c>
      <c r="B658" s="14" t="s">
        <v>117</v>
      </c>
      <c r="D658" s="14" t="s">
        <v>1630</v>
      </c>
      <c r="E658" s="14" t="s">
        <v>1631</v>
      </c>
      <c r="F658" s="15" t="str">
        <f>CONCATENATE(Tabla1[[#This Row],[NOMBRE_MPIO]]," (",Tabla1[[#This Row],[NOMBRE_DEPTO]],")")</f>
        <v>PALOCABILDO (TOLIMA)</v>
      </c>
      <c r="G658" s="19" t="s">
        <v>1631</v>
      </c>
    </row>
    <row r="659" spans="1:7" x14ac:dyDescent="0.15">
      <c r="A659" s="19">
        <v>54</v>
      </c>
      <c r="B659" s="14" t="s">
        <v>14</v>
      </c>
      <c r="D659" s="14" t="s">
        <v>1632</v>
      </c>
      <c r="E659" s="14" t="s">
        <v>1633</v>
      </c>
      <c r="F659" s="15" t="str">
        <f>CONCATENATE(Tabla1[[#This Row],[NOMBRE_MPIO]]," (",Tabla1[[#This Row],[NOMBRE_DEPTO]],")")</f>
        <v>PAMPLONA (NORTE DE SANTANDER)</v>
      </c>
      <c r="G659" s="19" t="s">
        <v>1633</v>
      </c>
    </row>
    <row r="660" spans="1:7" x14ac:dyDescent="0.15">
      <c r="A660" s="19">
        <v>54</v>
      </c>
      <c r="B660" s="14" t="s">
        <v>14</v>
      </c>
      <c r="D660" s="14" t="s">
        <v>1634</v>
      </c>
      <c r="E660" s="14" t="s">
        <v>1635</v>
      </c>
      <c r="F660" s="15" t="str">
        <f>CONCATENATE(Tabla1[[#This Row],[NOMBRE_MPIO]]," (",Tabla1[[#This Row],[NOMBRE_DEPTO]],")")</f>
        <v>PAMPLONITA (NORTE DE SANTANDER)</v>
      </c>
      <c r="G660" s="19" t="s">
        <v>1635</v>
      </c>
    </row>
    <row r="661" spans="1:7" x14ac:dyDescent="0.15">
      <c r="A661" s="19">
        <v>94</v>
      </c>
      <c r="B661" s="14" t="s">
        <v>330</v>
      </c>
      <c r="D661" s="14" t="s">
        <v>1636</v>
      </c>
      <c r="E661" s="14" t="s">
        <v>1637</v>
      </c>
      <c r="F661" s="15" t="str">
        <f>CONCATENATE(Tabla1[[#This Row],[NOMBRE_MPIO]]," (",Tabla1[[#This Row],[NOMBRE_DEPTO]],")")</f>
        <v>PANA PANA (GUAINIA)</v>
      </c>
      <c r="G661" s="19" t="s">
        <v>1637</v>
      </c>
    </row>
    <row r="662" spans="1:7" x14ac:dyDescent="0.15">
      <c r="A662" s="19">
        <v>25</v>
      </c>
      <c r="B662" s="14" t="s">
        <v>46</v>
      </c>
      <c r="D662" s="14" t="s">
        <v>1638</v>
      </c>
      <c r="E662" s="14" t="s">
        <v>1639</v>
      </c>
      <c r="F662" s="15" t="str">
        <f>CONCATENATE(Tabla1[[#This Row],[NOMBRE_MPIO]]," (",Tabla1[[#This Row],[NOMBRE_DEPTO]],")")</f>
        <v>PANDI (CUNDINAMARCA)</v>
      </c>
      <c r="G662" s="19" t="s">
        <v>1639</v>
      </c>
    </row>
    <row r="663" spans="1:7" x14ac:dyDescent="0.15">
      <c r="A663" s="19">
        <v>15</v>
      </c>
      <c r="B663" s="14" t="s">
        <v>113</v>
      </c>
      <c r="C663" s="14" t="s">
        <v>725</v>
      </c>
      <c r="D663" s="14" t="s">
        <v>1640</v>
      </c>
      <c r="E663" s="14" t="s">
        <v>1641</v>
      </c>
      <c r="F663" s="15" t="str">
        <f>CONCATENATE(Tabla1[[#This Row],[NOMBRE_MPIO]]," (",Tabla1[[#This Row],[NOMBRE_DEPTO]],")")</f>
        <v>PANQUEBA (BOYACÁ)</v>
      </c>
      <c r="G663" s="19" t="s">
        <v>1641</v>
      </c>
    </row>
    <row r="664" spans="1:7" x14ac:dyDescent="0.15">
      <c r="A664" s="19">
        <v>97</v>
      </c>
      <c r="B664" s="14" t="s">
        <v>622</v>
      </c>
      <c r="D664" s="14" t="s">
        <v>1642</v>
      </c>
      <c r="E664" s="14" t="s">
        <v>1643</v>
      </c>
      <c r="F664" s="15" t="str">
        <f>CONCATENATE(Tabla1[[#This Row],[NOMBRE_MPIO]]," (",Tabla1[[#This Row],[NOMBRE_DEPTO]],")")</f>
        <v>PAPUNAHUA (VAUPES)</v>
      </c>
      <c r="G664" s="19" t="s">
        <v>1643</v>
      </c>
    </row>
    <row r="665" spans="1:7" x14ac:dyDescent="0.15">
      <c r="A665" s="19">
        <v>68</v>
      </c>
      <c r="B665" s="14" t="s">
        <v>56</v>
      </c>
      <c r="D665" s="14" t="s">
        <v>1644</v>
      </c>
      <c r="E665" s="14" t="s">
        <v>1645</v>
      </c>
      <c r="F665" s="15" t="str">
        <f>CONCATENATE(Tabla1[[#This Row],[NOMBRE_MPIO]]," (",Tabla1[[#This Row],[NOMBRE_DEPTO]],")")</f>
        <v>PÁRAMO (SANTANDER)</v>
      </c>
      <c r="G665" s="19" t="s">
        <v>1645</v>
      </c>
    </row>
    <row r="666" spans="1:7" x14ac:dyDescent="0.15">
      <c r="A666" s="19">
        <v>25</v>
      </c>
      <c r="B666" s="14" t="s">
        <v>46</v>
      </c>
      <c r="D666" s="14" t="s">
        <v>1646</v>
      </c>
      <c r="E666" s="14" t="s">
        <v>1647</v>
      </c>
      <c r="F666" s="15" t="str">
        <f>CONCATENATE(Tabla1[[#This Row],[NOMBRE_MPIO]]," (",Tabla1[[#This Row],[NOMBRE_DEPTO]],")")</f>
        <v>PARATEBUENO (CUNDINAMARCA)</v>
      </c>
      <c r="G666" s="19" t="s">
        <v>1647</v>
      </c>
    </row>
    <row r="667" spans="1:7" x14ac:dyDescent="0.15">
      <c r="A667" s="19">
        <v>25</v>
      </c>
      <c r="B667" s="14" t="s">
        <v>46</v>
      </c>
      <c r="D667" s="14" t="s">
        <v>1648</v>
      </c>
      <c r="E667" s="14" t="s">
        <v>1649</v>
      </c>
      <c r="F667" s="15" t="str">
        <f>CONCATENATE(Tabla1[[#This Row],[NOMBRE_MPIO]]," (",Tabla1[[#This Row],[NOMBRE_DEPTO]],")")</f>
        <v>PASCA (CUNDINAMARCA)</v>
      </c>
      <c r="G667" s="19" t="s">
        <v>1649</v>
      </c>
    </row>
    <row r="668" spans="1:7" x14ac:dyDescent="0.15">
      <c r="A668" s="19">
        <v>52</v>
      </c>
      <c r="B668" s="14" t="s">
        <v>80</v>
      </c>
      <c r="D668" s="14" t="s">
        <v>1650</v>
      </c>
      <c r="E668" s="14" t="s">
        <v>1651</v>
      </c>
      <c r="F668" s="15" t="str">
        <f>CONCATENATE(Tabla1[[#This Row],[NOMBRE_MPIO]]," (",Tabla1[[#This Row],[NOMBRE_DEPTO]],")")</f>
        <v>PASTO (NARIÑO)</v>
      </c>
      <c r="G668" s="19" t="s">
        <v>1651</v>
      </c>
    </row>
    <row r="669" spans="1:7" x14ac:dyDescent="0.15">
      <c r="A669" s="19">
        <v>19</v>
      </c>
      <c r="B669" s="14" t="s">
        <v>109</v>
      </c>
      <c r="C669" s="14" t="s">
        <v>52</v>
      </c>
      <c r="D669" s="14" t="s">
        <v>1652</v>
      </c>
      <c r="E669" s="14" t="s">
        <v>1653</v>
      </c>
      <c r="F669" s="15" t="str">
        <f>CONCATENATE(Tabla1[[#This Row],[NOMBRE_MPIO]]," (",Tabla1[[#This Row],[NOMBRE_DEPTO]],")")</f>
        <v>PATIA (CAUCA)</v>
      </c>
      <c r="G669" s="19" t="s">
        <v>1653</v>
      </c>
    </row>
    <row r="670" spans="1:7" x14ac:dyDescent="0.15">
      <c r="A670" s="19">
        <v>15</v>
      </c>
      <c r="B670" s="14" t="s">
        <v>113</v>
      </c>
      <c r="C670" s="14" t="s">
        <v>15</v>
      </c>
      <c r="D670" s="14" t="s">
        <v>1654</v>
      </c>
      <c r="E670" s="14" t="s">
        <v>1655</v>
      </c>
      <c r="F670" s="15" t="str">
        <f>CONCATENATE(Tabla1[[#This Row],[NOMBRE_MPIO]]," (",Tabla1[[#This Row],[NOMBRE_DEPTO]],")")</f>
        <v>PAUNA (BOYACÁ)</v>
      </c>
      <c r="G670" s="19" t="s">
        <v>1655</v>
      </c>
    </row>
    <row r="671" spans="1:7" x14ac:dyDescent="0.15">
      <c r="A671" s="19">
        <v>15</v>
      </c>
      <c r="B671" s="14" t="s">
        <v>113</v>
      </c>
      <c r="C671" s="14" t="s">
        <v>1336</v>
      </c>
      <c r="D671" s="14" t="s">
        <v>1656</v>
      </c>
      <c r="E671" s="14" t="s">
        <v>1657</v>
      </c>
      <c r="F671" s="15" t="str">
        <f>CONCATENATE(Tabla1[[#This Row],[NOMBRE_MPIO]]," (",Tabla1[[#This Row],[NOMBRE_DEPTO]],")")</f>
        <v>PAYA (BOYACÁ)</v>
      </c>
      <c r="G671" s="19" t="s">
        <v>1657</v>
      </c>
    </row>
    <row r="672" spans="1:7" x14ac:dyDescent="0.15">
      <c r="A672" s="19">
        <v>85</v>
      </c>
      <c r="B672" s="14" t="s">
        <v>66</v>
      </c>
      <c r="C672" s="14" t="s">
        <v>66</v>
      </c>
      <c r="D672" s="14" t="s">
        <v>1658</v>
      </c>
      <c r="E672" s="14" t="s">
        <v>1659</v>
      </c>
      <c r="F672" s="15" t="str">
        <f>CONCATENATE(Tabla1[[#This Row],[NOMBRE_MPIO]]," (",Tabla1[[#This Row],[NOMBRE_DEPTO]],")")</f>
        <v>PAZ DE ARIPORO (CASANARE)</v>
      </c>
      <c r="G672" s="19" t="s">
        <v>1659</v>
      </c>
    </row>
    <row r="673" spans="1:7" x14ac:dyDescent="0.15">
      <c r="A673" s="19">
        <v>15</v>
      </c>
      <c r="B673" s="14" t="s">
        <v>113</v>
      </c>
      <c r="C673" s="14" t="s">
        <v>377</v>
      </c>
      <c r="D673" s="14" t="s">
        <v>1660</v>
      </c>
      <c r="E673" s="14" t="s">
        <v>1661</v>
      </c>
      <c r="F673" s="15" t="str">
        <f>CONCATENATE(Tabla1[[#This Row],[NOMBRE_MPIO]]," (",Tabla1[[#This Row],[NOMBRE_DEPTO]],")")</f>
        <v>PAZ DE RÍO (BOYACÁ)</v>
      </c>
      <c r="G673" s="19" t="s">
        <v>1661</v>
      </c>
    </row>
    <row r="674" spans="1:7" x14ac:dyDescent="0.15">
      <c r="A674" s="19">
        <v>47</v>
      </c>
      <c r="B674" s="14" t="s">
        <v>102</v>
      </c>
      <c r="D674" s="14" t="s">
        <v>1662</v>
      </c>
      <c r="E674" s="14" t="s">
        <v>1663</v>
      </c>
      <c r="F674" s="15" t="str">
        <f>CONCATENATE(Tabla1[[#This Row],[NOMBRE_MPIO]]," (",Tabla1[[#This Row],[NOMBRE_DEPTO]],")")</f>
        <v>PEDRAZA (MAGDALENA)</v>
      </c>
      <c r="G674" s="19" t="s">
        <v>1663</v>
      </c>
    </row>
    <row r="675" spans="1:7" x14ac:dyDescent="0.15">
      <c r="A675" s="19">
        <v>20</v>
      </c>
      <c r="B675" s="14" t="s">
        <v>51</v>
      </c>
      <c r="C675" s="14" t="s">
        <v>52</v>
      </c>
      <c r="D675" s="14" t="s">
        <v>1664</v>
      </c>
      <c r="E675" s="14" t="s">
        <v>1665</v>
      </c>
      <c r="F675" s="15" t="str">
        <f>CONCATENATE(Tabla1[[#This Row],[NOMBRE_MPIO]]," (",Tabla1[[#This Row],[NOMBRE_DEPTO]],")")</f>
        <v>PELAYA (CESAR)</v>
      </c>
      <c r="G675" s="19" t="s">
        <v>1665</v>
      </c>
    </row>
    <row r="676" spans="1:7" x14ac:dyDescent="0.15">
      <c r="A676" s="19">
        <v>17</v>
      </c>
      <c r="B676" s="14" t="s">
        <v>61</v>
      </c>
      <c r="C676" s="14" t="s">
        <v>1416</v>
      </c>
      <c r="D676" s="14" t="s">
        <v>1666</v>
      </c>
      <c r="E676" s="14" t="s">
        <v>1667</v>
      </c>
      <c r="F676" s="15" t="str">
        <f>CONCATENATE(Tabla1[[#This Row],[NOMBRE_MPIO]]," (",Tabla1[[#This Row],[NOMBRE_DEPTO]],")")</f>
        <v>PENSILVANIA (CALDAS)</v>
      </c>
      <c r="G676" s="19" t="s">
        <v>1667</v>
      </c>
    </row>
    <row r="677" spans="1:7" x14ac:dyDescent="0.15">
      <c r="A677" s="19">
        <v>5</v>
      </c>
      <c r="B677" s="14" t="s">
        <v>9</v>
      </c>
      <c r="C677" s="14" t="s">
        <v>10</v>
      </c>
      <c r="D677" s="14" t="s">
        <v>1668</v>
      </c>
      <c r="E677" s="14" t="s">
        <v>1669</v>
      </c>
      <c r="F677" s="15" t="str">
        <f>CONCATENATE(Tabla1[[#This Row],[NOMBRE_MPIO]]," (",Tabla1[[#This Row],[NOMBRE_DEPTO]],")")</f>
        <v>PEÑOL (ANTIOQUIA)</v>
      </c>
      <c r="G677" s="19" t="s">
        <v>1669</v>
      </c>
    </row>
    <row r="678" spans="1:7" x14ac:dyDescent="0.15">
      <c r="A678" s="19">
        <v>5</v>
      </c>
      <c r="B678" s="14" t="s">
        <v>9</v>
      </c>
      <c r="C678" s="14" t="s">
        <v>15</v>
      </c>
      <c r="D678" s="14" t="s">
        <v>1670</v>
      </c>
      <c r="E678" s="14" t="s">
        <v>1671</v>
      </c>
      <c r="F678" s="15" t="str">
        <f>CONCATENATE(Tabla1[[#This Row],[NOMBRE_MPIO]]," (",Tabla1[[#This Row],[NOMBRE_DEPTO]],")")</f>
        <v>PEQUE (ANTIOQUIA)</v>
      </c>
      <c r="G678" s="19" t="s">
        <v>1671</v>
      </c>
    </row>
    <row r="679" spans="1:7" x14ac:dyDescent="0.15">
      <c r="A679" s="19">
        <v>66</v>
      </c>
      <c r="B679" s="14" t="s">
        <v>191</v>
      </c>
      <c r="D679" s="14" t="s">
        <v>1672</v>
      </c>
      <c r="E679" s="14" t="s">
        <v>1673</v>
      </c>
      <c r="F679" s="15" t="str">
        <f>CONCATENATE(Tabla1[[#This Row],[NOMBRE_MPIO]]," (",Tabla1[[#This Row],[NOMBRE_DEPTO]],")")</f>
        <v>PEREIRA (RISARALDA)</v>
      </c>
      <c r="G679" s="19" t="s">
        <v>1673</v>
      </c>
    </row>
    <row r="680" spans="1:7" x14ac:dyDescent="0.15">
      <c r="A680" s="19">
        <v>15</v>
      </c>
      <c r="B680" s="14" t="s">
        <v>113</v>
      </c>
      <c r="C680" s="14" t="s">
        <v>199</v>
      </c>
      <c r="D680" s="14" t="s">
        <v>1674</v>
      </c>
      <c r="E680" s="14" t="s">
        <v>1675</v>
      </c>
      <c r="F680" s="15" t="str">
        <f>CONCATENATE(Tabla1[[#This Row],[NOMBRE_MPIO]]," (",Tabla1[[#This Row],[NOMBRE_DEPTO]],")")</f>
        <v>PESCA (BOYACÁ)</v>
      </c>
      <c r="G680" s="19" t="s">
        <v>1675</v>
      </c>
    </row>
    <row r="681" spans="1:7" x14ac:dyDescent="0.15">
      <c r="A681" s="19">
        <v>19</v>
      </c>
      <c r="B681" s="14" t="s">
        <v>109</v>
      </c>
      <c r="C681" s="14" t="s">
        <v>52</v>
      </c>
      <c r="D681" s="14" t="s">
        <v>1676</v>
      </c>
      <c r="E681" s="14" t="s">
        <v>1677</v>
      </c>
      <c r="F681" s="15" t="str">
        <f>CONCATENATE(Tabla1[[#This Row],[NOMBRE_MPIO]]," (",Tabla1[[#This Row],[NOMBRE_DEPTO]],")")</f>
        <v>PIAMONTE (CAUCA)</v>
      </c>
      <c r="G681" s="19" t="s">
        <v>1677</v>
      </c>
    </row>
    <row r="682" spans="1:7" x14ac:dyDescent="0.15">
      <c r="A682" s="19">
        <v>68</v>
      </c>
      <c r="B682" s="14" t="s">
        <v>56</v>
      </c>
      <c r="D682" s="14" t="s">
        <v>1678</v>
      </c>
      <c r="E682" s="14" t="s">
        <v>1679</v>
      </c>
      <c r="F682" s="15" t="str">
        <f>CONCATENATE(Tabla1[[#This Row],[NOMBRE_MPIO]]," (",Tabla1[[#This Row],[NOMBRE_DEPTO]],")")</f>
        <v>PIEDECUESTA (SANTANDER)</v>
      </c>
      <c r="G682" s="19" t="s">
        <v>1679</v>
      </c>
    </row>
    <row r="683" spans="1:7" x14ac:dyDescent="0.15">
      <c r="A683" s="19">
        <v>73</v>
      </c>
      <c r="B683" s="14" t="s">
        <v>117</v>
      </c>
      <c r="D683" s="14" t="s">
        <v>1680</v>
      </c>
      <c r="E683" s="14" t="s">
        <v>1681</v>
      </c>
      <c r="F683" s="15" t="str">
        <f>CONCATENATE(Tabla1[[#This Row],[NOMBRE_MPIO]]," (",Tabla1[[#This Row],[NOMBRE_DEPTO]],")")</f>
        <v>PIEDRAS (TOLIMA)</v>
      </c>
      <c r="G683" s="19" t="s">
        <v>1681</v>
      </c>
    </row>
    <row r="684" spans="1:7" x14ac:dyDescent="0.15">
      <c r="A684" s="19">
        <v>19</v>
      </c>
      <c r="B684" s="14" t="s">
        <v>109</v>
      </c>
      <c r="C684" s="14" t="s">
        <v>42</v>
      </c>
      <c r="D684" s="14" t="s">
        <v>1682</v>
      </c>
      <c r="E684" s="14" t="s">
        <v>1683</v>
      </c>
      <c r="F684" s="15" t="str">
        <f>CONCATENATE(Tabla1[[#This Row],[NOMBRE_MPIO]]," (",Tabla1[[#This Row],[NOMBRE_DEPTO]],")")</f>
        <v>PIENDAMO (CAUCA)</v>
      </c>
      <c r="G684" s="19" t="s">
        <v>1683</v>
      </c>
    </row>
    <row r="685" spans="1:7" x14ac:dyDescent="0.15">
      <c r="A685" s="19">
        <v>63</v>
      </c>
      <c r="B685" s="14" t="s">
        <v>256</v>
      </c>
      <c r="D685" s="14" t="s">
        <v>1684</v>
      </c>
      <c r="E685" s="14" t="s">
        <v>1685</v>
      </c>
      <c r="F685" s="15" t="str">
        <f>CONCATENATE(Tabla1[[#This Row],[NOMBRE_MPIO]]," (",Tabla1[[#This Row],[NOMBRE_DEPTO]],")")</f>
        <v>PIJAO (QUINDIO)</v>
      </c>
      <c r="G685" s="19" t="s">
        <v>1685</v>
      </c>
    </row>
    <row r="686" spans="1:7" x14ac:dyDescent="0.15">
      <c r="A686" s="19">
        <v>47</v>
      </c>
      <c r="B686" s="14" t="s">
        <v>102</v>
      </c>
      <c r="D686" s="14" t="s">
        <v>1686</v>
      </c>
      <c r="E686" s="14" t="s">
        <v>1687</v>
      </c>
      <c r="F686" s="15" t="str">
        <f>CONCATENATE(Tabla1[[#This Row],[NOMBRE_MPIO]]," (",Tabla1[[#This Row],[NOMBRE_DEPTO]],")")</f>
        <v>PIJIÑO DEL CARMEN (MAGDALENA)</v>
      </c>
      <c r="G686" s="19" t="s">
        <v>1687</v>
      </c>
    </row>
    <row r="687" spans="1:7" x14ac:dyDescent="0.15">
      <c r="A687" s="19">
        <v>68</v>
      </c>
      <c r="B687" s="14" t="s">
        <v>56</v>
      </c>
      <c r="D687" s="14" t="s">
        <v>1688</v>
      </c>
      <c r="E687" s="14" t="s">
        <v>1689</v>
      </c>
      <c r="F687" s="15" t="str">
        <f>CONCATENATE(Tabla1[[#This Row],[NOMBRE_MPIO]]," (",Tabla1[[#This Row],[NOMBRE_DEPTO]],")")</f>
        <v>PINCHOTE (SANTANDER)</v>
      </c>
      <c r="G687" s="19" t="s">
        <v>1689</v>
      </c>
    </row>
    <row r="688" spans="1:7" x14ac:dyDescent="0.15">
      <c r="A688" s="19">
        <v>13</v>
      </c>
      <c r="B688" s="14" t="s">
        <v>37</v>
      </c>
      <c r="C688" s="14" t="s">
        <v>38</v>
      </c>
      <c r="D688" s="14" t="s">
        <v>1690</v>
      </c>
      <c r="E688" s="14" t="s">
        <v>1691</v>
      </c>
      <c r="F688" s="15" t="str">
        <f>CONCATENATE(Tabla1[[#This Row],[NOMBRE_MPIO]]," (",Tabla1[[#This Row],[NOMBRE_DEPTO]],")")</f>
        <v>PINILLOS (BOLIVAR)</v>
      </c>
      <c r="G688" s="19" t="s">
        <v>1691</v>
      </c>
    </row>
    <row r="689" spans="1:7" x14ac:dyDescent="0.15">
      <c r="A689" s="19">
        <v>8</v>
      </c>
      <c r="B689" s="14" t="s">
        <v>296</v>
      </c>
      <c r="C689" s="14" t="s">
        <v>1236</v>
      </c>
      <c r="D689" s="14" t="s">
        <v>1692</v>
      </c>
      <c r="E689" s="14" t="s">
        <v>1693</v>
      </c>
      <c r="F689" s="15" t="str">
        <f>CONCATENATE(Tabla1[[#This Row],[NOMBRE_MPIO]]," (",Tabla1[[#This Row],[NOMBRE_DEPTO]],")")</f>
        <v>PIOJÓ (ATLÁNTICO)</v>
      </c>
      <c r="G689" s="19" t="s">
        <v>1693</v>
      </c>
    </row>
    <row r="690" spans="1:7" x14ac:dyDescent="0.15">
      <c r="A690" s="19">
        <v>15</v>
      </c>
      <c r="B690" s="14" t="s">
        <v>113</v>
      </c>
      <c r="C690" s="14" t="s">
        <v>1336</v>
      </c>
      <c r="D690" s="14" t="s">
        <v>1694</v>
      </c>
      <c r="E690" s="14" t="s">
        <v>1695</v>
      </c>
      <c r="F690" s="15" t="str">
        <f>CONCATENATE(Tabla1[[#This Row],[NOMBRE_MPIO]]," (",Tabla1[[#This Row],[NOMBRE_DEPTO]],")")</f>
        <v>PISBA (BOYACÁ)</v>
      </c>
      <c r="G690" s="19" t="s">
        <v>1695</v>
      </c>
    </row>
    <row r="691" spans="1:7" x14ac:dyDescent="0.15">
      <c r="A691" s="19">
        <v>41</v>
      </c>
      <c r="B691" s="14" t="s">
        <v>32</v>
      </c>
      <c r="D691" s="14" t="s">
        <v>1696</v>
      </c>
      <c r="E691" s="14" t="s">
        <v>1697</v>
      </c>
      <c r="F691" s="15" t="str">
        <f>CONCATENATE(Tabla1[[#This Row],[NOMBRE_MPIO]]," (",Tabla1[[#This Row],[NOMBRE_DEPTO]],")")</f>
        <v>PITAL (HUILA)</v>
      </c>
      <c r="G691" s="19" t="s">
        <v>1697</v>
      </c>
    </row>
    <row r="692" spans="1:7" x14ac:dyDescent="0.15">
      <c r="A692" s="19">
        <v>41</v>
      </c>
      <c r="B692" s="14" t="s">
        <v>32</v>
      </c>
      <c r="D692" s="14" t="s">
        <v>1698</v>
      </c>
      <c r="E692" s="14" t="s">
        <v>1699</v>
      </c>
      <c r="F692" s="15" t="str">
        <f>CONCATENATE(Tabla1[[#This Row],[NOMBRE_MPIO]]," (",Tabla1[[#This Row],[NOMBRE_DEPTO]],")")</f>
        <v>PITALITO (HUILA)</v>
      </c>
      <c r="G692" s="19" t="s">
        <v>1699</v>
      </c>
    </row>
    <row r="693" spans="1:7" x14ac:dyDescent="0.15">
      <c r="A693" s="19">
        <v>47</v>
      </c>
      <c r="B693" s="14" t="s">
        <v>102</v>
      </c>
      <c r="D693" s="14" t="s">
        <v>1700</v>
      </c>
      <c r="E693" s="14" t="s">
        <v>1701</v>
      </c>
      <c r="F693" s="15" t="str">
        <f>CONCATENATE(Tabla1[[#This Row],[NOMBRE_MPIO]]," (",Tabla1[[#This Row],[NOMBRE_DEPTO]],")")</f>
        <v>PIVIJAY (MAGDALENA)</v>
      </c>
      <c r="G693" s="19" t="s">
        <v>1701</v>
      </c>
    </row>
    <row r="694" spans="1:7" x14ac:dyDescent="0.15">
      <c r="A694" s="19">
        <v>73</v>
      </c>
      <c r="B694" s="14" t="s">
        <v>117</v>
      </c>
      <c r="D694" s="14" t="s">
        <v>1702</v>
      </c>
      <c r="E694" s="14" t="s">
        <v>1703</v>
      </c>
      <c r="F694" s="15" t="str">
        <f>CONCATENATE(Tabla1[[#This Row],[NOMBRE_MPIO]]," (",Tabla1[[#This Row],[NOMBRE_DEPTO]],")")</f>
        <v>PLANADAS (TOLIMA)</v>
      </c>
      <c r="G694" s="19" t="s">
        <v>1703</v>
      </c>
    </row>
    <row r="695" spans="1:7" x14ac:dyDescent="0.15">
      <c r="A695" s="19">
        <v>23</v>
      </c>
      <c r="B695" s="14" t="s">
        <v>276</v>
      </c>
      <c r="D695" s="14" t="s">
        <v>1704</v>
      </c>
      <c r="E695" s="14" t="s">
        <v>1705</v>
      </c>
      <c r="F695" s="15" t="str">
        <f>CONCATENATE(Tabla1[[#This Row],[NOMBRE_MPIO]]," (",Tabla1[[#This Row],[NOMBRE_DEPTO]],")")</f>
        <v>PLANETA RICA (CORDOBA)</v>
      </c>
      <c r="G695" s="19" t="s">
        <v>1705</v>
      </c>
    </row>
    <row r="696" spans="1:7" x14ac:dyDescent="0.15">
      <c r="A696" s="19">
        <v>47</v>
      </c>
      <c r="B696" s="14" t="s">
        <v>102</v>
      </c>
      <c r="D696" s="14" t="s">
        <v>1706</v>
      </c>
      <c r="E696" s="14" t="s">
        <v>1707</v>
      </c>
      <c r="F696" s="15" t="str">
        <f>CONCATENATE(Tabla1[[#This Row],[NOMBRE_MPIO]]," (",Tabla1[[#This Row],[NOMBRE_DEPTO]],")")</f>
        <v>PLATO (MAGDALENA)</v>
      </c>
      <c r="G696" s="19" t="s">
        <v>1707</v>
      </c>
    </row>
    <row r="697" spans="1:7" x14ac:dyDescent="0.15">
      <c r="A697" s="19">
        <v>52</v>
      </c>
      <c r="B697" s="14" t="s">
        <v>80</v>
      </c>
      <c r="D697" s="14" t="s">
        <v>1708</v>
      </c>
      <c r="E697" s="14" t="s">
        <v>1709</v>
      </c>
      <c r="F697" s="15" t="str">
        <f>CONCATENATE(Tabla1[[#This Row],[NOMBRE_MPIO]]," (",Tabla1[[#This Row],[NOMBRE_DEPTO]],")")</f>
        <v>POLICARPA (NARIÑO)</v>
      </c>
      <c r="G697" s="19" t="s">
        <v>1709</v>
      </c>
    </row>
    <row r="698" spans="1:7" x14ac:dyDescent="0.15">
      <c r="A698" s="19">
        <v>8</v>
      </c>
      <c r="B698" s="14" t="s">
        <v>296</v>
      </c>
      <c r="C698" s="14" t="s">
        <v>297</v>
      </c>
      <c r="D698" s="14" t="s">
        <v>1710</v>
      </c>
      <c r="E698" s="14" t="s">
        <v>1711</v>
      </c>
      <c r="F698" s="15" t="str">
        <f>CONCATENATE(Tabla1[[#This Row],[NOMBRE_MPIO]]," (",Tabla1[[#This Row],[NOMBRE_DEPTO]],")")</f>
        <v>POLONUEVO (ATLÁNTICO)</v>
      </c>
      <c r="G698" s="19" t="s">
        <v>1711</v>
      </c>
    </row>
    <row r="699" spans="1:7" x14ac:dyDescent="0.15">
      <c r="A699" s="19">
        <v>8</v>
      </c>
      <c r="B699" s="14" t="s">
        <v>296</v>
      </c>
      <c r="C699" s="14" t="s">
        <v>297</v>
      </c>
      <c r="D699" s="14" t="s">
        <v>1712</v>
      </c>
      <c r="E699" s="14" t="s">
        <v>1713</v>
      </c>
      <c r="F699" s="15" t="str">
        <f>CONCATENATE(Tabla1[[#This Row],[NOMBRE_MPIO]]," (",Tabla1[[#This Row],[NOMBRE_DEPTO]],")")</f>
        <v>PONEDERA (ATLÁNTICO)</v>
      </c>
      <c r="G699" s="19" t="s">
        <v>1713</v>
      </c>
    </row>
    <row r="700" spans="1:7" x14ac:dyDescent="0.15">
      <c r="A700" s="19">
        <v>19</v>
      </c>
      <c r="B700" s="14" t="s">
        <v>109</v>
      </c>
      <c r="C700" s="14" t="s">
        <v>42</v>
      </c>
      <c r="D700" s="14" t="s">
        <v>1714</v>
      </c>
      <c r="E700" s="14" t="s">
        <v>1715</v>
      </c>
      <c r="F700" s="15" t="str">
        <f>CONCATENATE(Tabla1[[#This Row],[NOMBRE_MPIO]]," (",Tabla1[[#This Row],[NOMBRE_DEPTO]],")")</f>
        <v>POPAYÁN (CAUCA)</v>
      </c>
      <c r="G700" s="19" t="s">
        <v>1715</v>
      </c>
    </row>
    <row r="701" spans="1:7" x14ac:dyDescent="0.15">
      <c r="A701" s="19">
        <v>85</v>
      </c>
      <c r="B701" s="14" t="s">
        <v>66</v>
      </c>
      <c r="C701" s="14" t="s">
        <v>66</v>
      </c>
      <c r="D701" s="14" t="s">
        <v>1716</v>
      </c>
      <c r="E701" s="14" t="s">
        <v>1717</v>
      </c>
      <c r="F701" s="15" t="str">
        <f>CONCATENATE(Tabla1[[#This Row],[NOMBRE_MPIO]]," (",Tabla1[[#This Row],[NOMBRE_DEPTO]],")")</f>
        <v>PORE (CASANARE)</v>
      </c>
      <c r="G701" s="19" t="s">
        <v>1717</v>
      </c>
    </row>
    <row r="702" spans="1:7" x14ac:dyDescent="0.15">
      <c r="A702" s="19">
        <v>52</v>
      </c>
      <c r="B702" s="14" t="s">
        <v>80</v>
      </c>
      <c r="D702" s="14" t="s">
        <v>1718</v>
      </c>
      <c r="E702" s="14" t="s">
        <v>1719</v>
      </c>
      <c r="F702" s="15" t="str">
        <f>CONCATENATE(Tabla1[[#This Row],[NOMBRE_MPIO]]," (",Tabla1[[#This Row],[NOMBRE_DEPTO]],")")</f>
        <v>POTOSÍ (NARIÑO)</v>
      </c>
      <c r="G702" s="19" t="s">
        <v>1719</v>
      </c>
    </row>
    <row r="703" spans="1:7" x14ac:dyDescent="0.15">
      <c r="A703" s="19">
        <v>76</v>
      </c>
      <c r="B703" s="14" t="s">
        <v>92</v>
      </c>
      <c r="D703" s="14" t="s">
        <v>1720</v>
      </c>
      <c r="E703" s="14" t="s">
        <v>1721</v>
      </c>
      <c r="F703" s="15" t="str">
        <f>CONCATENATE(Tabla1[[#This Row],[NOMBRE_MPIO]]," (",Tabla1[[#This Row],[NOMBRE_DEPTO]],")")</f>
        <v>PRADERA (VALLE DEL CAUCA)</v>
      </c>
      <c r="G703" s="19" t="s">
        <v>1721</v>
      </c>
    </row>
    <row r="704" spans="1:7" x14ac:dyDescent="0.15">
      <c r="A704" s="19">
        <v>73</v>
      </c>
      <c r="B704" s="14" t="s">
        <v>117</v>
      </c>
      <c r="D704" s="14" t="s">
        <v>1722</v>
      </c>
      <c r="E704" s="14" t="s">
        <v>1723</v>
      </c>
      <c r="F704" s="15" t="str">
        <f>CONCATENATE(Tabla1[[#This Row],[NOMBRE_MPIO]]," (",Tabla1[[#This Row],[NOMBRE_DEPTO]],")")</f>
        <v>PRADO (TOLIMA)</v>
      </c>
      <c r="G704" s="19" t="s">
        <v>1723</v>
      </c>
    </row>
    <row r="705" spans="1:7" x14ac:dyDescent="0.15">
      <c r="A705" s="19">
        <v>52</v>
      </c>
      <c r="B705" s="14" t="s">
        <v>80</v>
      </c>
      <c r="D705" s="14" t="s">
        <v>1724</v>
      </c>
      <c r="E705" s="14" t="s">
        <v>1725</v>
      </c>
      <c r="F705" s="15" t="str">
        <f>CONCATENATE(Tabla1[[#This Row],[NOMBRE_MPIO]]," (",Tabla1[[#This Row],[NOMBRE_DEPTO]],")")</f>
        <v>PROVIDENCIA (NARIÑO)</v>
      </c>
      <c r="G705" s="19" t="s">
        <v>1725</v>
      </c>
    </row>
    <row r="706" spans="1:7" x14ac:dyDescent="0.15">
      <c r="A706" s="19">
        <v>88</v>
      </c>
      <c r="B706" s="14" t="s">
        <v>1726</v>
      </c>
      <c r="C706" s="14" t="s">
        <v>1726</v>
      </c>
      <c r="D706" s="14" t="s">
        <v>1727</v>
      </c>
      <c r="E706" s="14" t="s">
        <v>1728</v>
      </c>
      <c r="F706" s="15" t="str">
        <f>CONCATENATE(Tabla1[[#This Row],[NOMBRE_MPIO]]," (",Tabla1[[#This Row],[NOMBRE_DEPTO]],")")</f>
        <v>PROVIDENCIA Y SANTA CATALINA (ARCHIPIELAGO DE SAN ANDRES)</v>
      </c>
      <c r="G706" s="19" t="s">
        <v>1728</v>
      </c>
    </row>
    <row r="707" spans="1:7" x14ac:dyDescent="0.15">
      <c r="A707" s="19">
        <v>20</v>
      </c>
      <c r="B707" s="14" t="s">
        <v>51</v>
      </c>
      <c r="C707" s="14" t="s">
        <v>62</v>
      </c>
      <c r="D707" s="14" t="s">
        <v>1729</v>
      </c>
      <c r="E707" s="14" t="s">
        <v>1730</v>
      </c>
      <c r="F707" s="15" t="str">
        <f>CONCATENATE(Tabla1[[#This Row],[NOMBRE_MPIO]]," (",Tabla1[[#This Row],[NOMBRE_DEPTO]],")")</f>
        <v>PUEBLO BELLO (CESAR)</v>
      </c>
      <c r="G707" s="19" t="s">
        <v>1730</v>
      </c>
    </row>
    <row r="708" spans="1:7" x14ac:dyDescent="0.15">
      <c r="A708" s="19">
        <v>23</v>
      </c>
      <c r="B708" s="14" t="s">
        <v>276</v>
      </c>
      <c r="D708" s="14" t="s">
        <v>1731</v>
      </c>
      <c r="E708" s="14" t="s">
        <v>1732</v>
      </c>
      <c r="F708" s="15" t="str">
        <f>CONCATENATE(Tabla1[[#This Row],[NOMBRE_MPIO]]," (",Tabla1[[#This Row],[NOMBRE_DEPTO]],")")</f>
        <v>PUEBLO NUEVO (CORDOBA)</v>
      </c>
      <c r="G708" s="19" t="s">
        <v>1732</v>
      </c>
    </row>
    <row r="709" spans="1:7" x14ac:dyDescent="0.15">
      <c r="A709" s="19">
        <v>66</v>
      </c>
      <c r="B709" s="14" t="s">
        <v>191</v>
      </c>
      <c r="D709" s="14" t="s">
        <v>1733</v>
      </c>
      <c r="E709" s="14" t="s">
        <v>1734</v>
      </c>
      <c r="F709" s="15" t="str">
        <f>CONCATENATE(Tabla1[[#This Row],[NOMBRE_MPIO]]," (",Tabla1[[#This Row],[NOMBRE_DEPTO]],")")</f>
        <v>PUEBLO RICO (RISARALDA)</v>
      </c>
      <c r="G709" s="19" t="s">
        <v>1734</v>
      </c>
    </row>
    <row r="710" spans="1:7" x14ac:dyDescent="0.15">
      <c r="A710" s="19">
        <v>47</v>
      </c>
      <c r="B710" s="14" t="s">
        <v>102</v>
      </c>
      <c r="D710" s="14" t="s">
        <v>1735</v>
      </c>
      <c r="E710" s="14" t="s">
        <v>1736</v>
      </c>
      <c r="F710" s="15" t="str">
        <f>CONCATENATE(Tabla1[[#This Row],[NOMBRE_MPIO]]," (",Tabla1[[#This Row],[NOMBRE_DEPTO]],")")</f>
        <v>PUEBLO VIEJO (MAGDALENA)</v>
      </c>
      <c r="G710" s="19" t="s">
        <v>1736</v>
      </c>
    </row>
    <row r="711" spans="1:7" x14ac:dyDescent="0.15">
      <c r="A711" s="19">
        <v>5</v>
      </c>
      <c r="B711" s="14" t="s">
        <v>9</v>
      </c>
      <c r="C711" s="14" t="s">
        <v>137</v>
      </c>
      <c r="D711" s="14" t="s">
        <v>1737</v>
      </c>
      <c r="E711" s="14" t="s">
        <v>1738</v>
      </c>
      <c r="F711" s="15" t="str">
        <f>CONCATENATE(Tabla1[[#This Row],[NOMBRE_MPIO]]," (",Tabla1[[#This Row],[NOMBRE_DEPTO]],")")</f>
        <v>PUEBLORRICO (ANTIOQUIA)</v>
      </c>
      <c r="G711" s="19" t="s">
        <v>1738</v>
      </c>
    </row>
    <row r="712" spans="1:7" x14ac:dyDescent="0.15">
      <c r="A712" s="19">
        <v>68</v>
      </c>
      <c r="B712" s="14" t="s">
        <v>56</v>
      </c>
      <c r="D712" s="14" t="s">
        <v>1739</v>
      </c>
      <c r="E712" s="14" t="s">
        <v>1740</v>
      </c>
      <c r="F712" s="15" t="str">
        <f>CONCATENATE(Tabla1[[#This Row],[NOMBRE_MPIO]]," (",Tabla1[[#This Row],[NOMBRE_DEPTO]],")")</f>
        <v>PUENTE NACIONAL (SANTANDER)</v>
      </c>
      <c r="G712" s="19" t="s">
        <v>1740</v>
      </c>
    </row>
    <row r="713" spans="1:7" x14ac:dyDescent="0.15">
      <c r="A713" s="19">
        <v>52</v>
      </c>
      <c r="B713" s="14" t="s">
        <v>80</v>
      </c>
      <c r="D713" s="14" t="s">
        <v>1741</v>
      </c>
      <c r="E713" s="14" t="s">
        <v>1742</v>
      </c>
      <c r="F713" s="15" t="str">
        <f>CONCATENATE(Tabla1[[#This Row],[NOMBRE_MPIO]]," (",Tabla1[[#This Row],[NOMBRE_DEPTO]],")")</f>
        <v>PUERRES (NARIÑO)</v>
      </c>
      <c r="G713" s="19" t="s">
        <v>1742</v>
      </c>
    </row>
    <row r="714" spans="1:7" x14ac:dyDescent="0.15">
      <c r="A714" s="19">
        <v>91</v>
      </c>
      <c r="B714" s="14" t="s">
        <v>950</v>
      </c>
      <c r="C714" s="14" t="s">
        <v>950</v>
      </c>
      <c r="D714" s="14" t="s">
        <v>1743</v>
      </c>
      <c r="E714" s="14" t="s">
        <v>1744</v>
      </c>
      <c r="F714" s="15" t="str">
        <f>CONCATENATE(Tabla1[[#This Row],[NOMBRE_MPIO]]," (",Tabla1[[#This Row],[NOMBRE_DEPTO]],")")</f>
        <v>PUERTO ALEGRIA (AMAZONAS)</v>
      </c>
      <c r="G714" s="19" t="s">
        <v>1744</v>
      </c>
    </row>
    <row r="715" spans="1:7" x14ac:dyDescent="0.15">
      <c r="A715" s="19">
        <v>91</v>
      </c>
      <c r="B715" s="14" t="s">
        <v>950</v>
      </c>
      <c r="C715" s="14" t="s">
        <v>950</v>
      </c>
      <c r="D715" s="14" t="s">
        <v>1745</v>
      </c>
      <c r="E715" s="14" t="s">
        <v>1746</v>
      </c>
      <c r="F715" s="15" t="str">
        <f>CONCATENATE(Tabla1[[#This Row],[NOMBRE_MPIO]]," (",Tabla1[[#This Row],[NOMBRE_DEPTO]],")")</f>
        <v>PUERTO ARICA (AMAZONAS)</v>
      </c>
      <c r="G715" s="19" t="s">
        <v>1746</v>
      </c>
    </row>
    <row r="716" spans="1:7" x14ac:dyDescent="0.15">
      <c r="A716" s="19">
        <v>86</v>
      </c>
      <c r="B716" s="14" t="s">
        <v>793</v>
      </c>
      <c r="D716" s="14" t="s">
        <v>1747</v>
      </c>
      <c r="E716" s="14" t="s">
        <v>1748</v>
      </c>
      <c r="F716" s="15" t="str">
        <f>CONCATENATE(Tabla1[[#This Row],[NOMBRE_MPIO]]," (",Tabla1[[#This Row],[NOMBRE_DEPTO]],")")</f>
        <v>PUERTO ASIS (PUTUMAYO)</v>
      </c>
      <c r="G716" s="19" t="s">
        <v>1748</v>
      </c>
    </row>
    <row r="717" spans="1:7" x14ac:dyDescent="0.15">
      <c r="A717" s="19">
        <v>5</v>
      </c>
      <c r="B717" s="14" t="s">
        <v>9</v>
      </c>
      <c r="C717" s="14" t="s">
        <v>580</v>
      </c>
      <c r="D717" s="14" t="s">
        <v>1749</v>
      </c>
      <c r="E717" s="14" t="s">
        <v>1750</v>
      </c>
      <c r="F717" s="15" t="str">
        <f>CONCATENATE(Tabla1[[#This Row],[NOMBRE_MPIO]]," (",Tabla1[[#This Row],[NOMBRE_DEPTO]],")")</f>
        <v>PUERTO BERRiO (ANTIOQUIA)</v>
      </c>
      <c r="G717" s="19" t="s">
        <v>1750</v>
      </c>
    </row>
    <row r="718" spans="1:7" x14ac:dyDescent="0.15">
      <c r="A718" s="19">
        <v>15</v>
      </c>
      <c r="B718" s="14" t="s">
        <v>113</v>
      </c>
      <c r="C718" s="14" t="s">
        <v>15</v>
      </c>
      <c r="D718" s="14" t="s">
        <v>1751</v>
      </c>
      <c r="E718" s="14" t="s">
        <v>1752</v>
      </c>
      <c r="F718" s="15" t="str">
        <f>CONCATENATE(Tabla1[[#This Row],[NOMBRE_MPIO]]," (",Tabla1[[#This Row],[NOMBRE_DEPTO]],")")</f>
        <v>PUERTO BOYACa (BOYACÁ)</v>
      </c>
      <c r="G718" s="19" t="s">
        <v>1752</v>
      </c>
    </row>
    <row r="719" spans="1:7" x14ac:dyDescent="0.15">
      <c r="A719" s="19">
        <v>86</v>
      </c>
      <c r="B719" s="14" t="s">
        <v>793</v>
      </c>
      <c r="D719" s="14" t="s">
        <v>1753</v>
      </c>
      <c r="E719" s="14" t="s">
        <v>1754</v>
      </c>
      <c r="F719" s="15" t="str">
        <f>CONCATENATE(Tabla1[[#This Row],[NOMBRE_MPIO]]," (",Tabla1[[#This Row],[NOMBRE_DEPTO]],")")</f>
        <v>PUERTO CAICEDO (PUTUMAYO)</v>
      </c>
      <c r="G719" s="19" t="s">
        <v>1754</v>
      </c>
    </row>
    <row r="720" spans="1:7" x14ac:dyDescent="0.15">
      <c r="A720" s="19">
        <v>99</v>
      </c>
      <c r="B720" s="14" t="s">
        <v>879</v>
      </c>
      <c r="D720" s="14" t="s">
        <v>1755</v>
      </c>
      <c r="E720" s="14" t="s">
        <v>1756</v>
      </c>
      <c r="F720" s="15" t="str">
        <f>CONCATENATE(Tabla1[[#This Row],[NOMBRE_MPIO]]," (",Tabla1[[#This Row],[NOMBRE_DEPTO]],")")</f>
        <v>PUERTO CARREÑO (VICHADA)</v>
      </c>
      <c r="G720" s="19" t="s">
        <v>1756</v>
      </c>
    </row>
    <row r="721" spans="1:7" x14ac:dyDescent="0.15">
      <c r="A721" s="19">
        <v>8</v>
      </c>
      <c r="B721" s="14" t="s">
        <v>296</v>
      </c>
      <c r="C721" s="14" t="s">
        <v>62</v>
      </c>
      <c r="D721" s="14" t="s">
        <v>1757</v>
      </c>
      <c r="E721" s="14" t="s">
        <v>1758</v>
      </c>
      <c r="F721" s="15" t="str">
        <f>CONCATENATE(Tabla1[[#This Row],[NOMBRE_MPIO]]," (",Tabla1[[#This Row],[NOMBRE_DEPTO]],")")</f>
        <v>PUERTO COLOMBIA (ATLÁNTICO)</v>
      </c>
      <c r="G721" s="19" t="s">
        <v>1758</v>
      </c>
    </row>
    <row r="722" spans="1:7" x14ac:dyDescent="0.15">
      <c r="A722" s="19">
        <v>94</v>
      </c>
      <c r="B722" s="14" t="s">
        <v>330</v>
      </c>
      <c r="D722" s="14" t="s">
        <v>1757</v>
      </c>
      <c r="E722" s="14" t="s">
        <v>1759</v>
      </c>
      <c r="F722" s="15" t="str">
        <f>CONCATENATE(Tabla1[[#This Row],[NOMBRE_MPIO]]," (",Tabla1[[#This Row],[NOMBRE_DEPTO]],")")</f>
        <v>PUERTO COLOMBIA (GUAINIA)</v>
      </c>
      <c r="G722" s="19" t="s">
        <v>1759</v>
      </c>
    </row>
    <row r="723" spans="1:7" x14ac:dyDescent="0.15">
      <c r="A723" s="19">
        <v>50</v>
      </c>
      <c r="B723" s="14" t="s">
        <v>22</v>
      </c>
      <c r="D723" s="14" t="s">
        <v>1760</v>
      </c>
      <c r="E723" s="14" t="s">
        <v>1761</v>
      </c>
      <c r="F723" s="15" t="str">
        <f>CONCATENATE(Tabla1[[#This Row],[NOMBRE_MPIO]]," (",Tabla1[[#This Row],[NOMBRE_DEPTO]],")")</f>
        <v>PUERTO CONCORDIA (META)</v>
      </c>
      <c r="G723" s="19" t="s">
        <v>1761</v>
      </c>
    </row>
    <row r="724" spans="1:7" x14ac:dyDescent="0.15">
      <c r="A724" s="19">
        <v>23</v>
      </c>
      <c r="B724" s="14" t="s">
        <v>276</v>
      </c>
      <c r="D724" s="14" t="s">
        <v>1762</v>
      </c>
      <c r="E724" s="14" t="s">
        <v>1763</v>
      </c>
      <c r="F724" s="15" t="str">
        <f>CONCATENATE(Tabla1[[#This Row],[NOMBRE_MPIO]]," (",Tabla1[[#This Row],[NOMBRE_DEPTO]],")")</f>
        <v>PUERTO ESCONDIDO (CORDOBA)</v>
      </c>
      <c r="G724" s="19" t="s">
        <v>1763</v>
      </c>
    </row>
    <row r="725" spans="1:7" x14ac:dyDescent="0.15">
      <c r="A725" s="19">
        <v>50</v>
      </c>
      <c r="B725" s="14" t="s">
        <v>22</v>
      </c>
      <c r="D725" s="14" t="s">
        <v>1764</v>
      </c>
      <c r="E725" s="14" t="s">
        <v>1765</v>
      </c>
      <c r="F725" s="15" t="str">
        <f>CONCATENATE(Tabla1[[#This Row],[NOMBRE_MPIO]]," (",Tabla1[[#This Row],[NOMBRE_DEPTO]],")")</f>
        <v>PUERTO GAITÁN (META)</v>
      </c>
      <c r="G725" s="19" t="s">
        <v>1765</v>
      </c>
    </row>
    <row r="726" spans="1:7" x14ac:dyDescent="0.15">
      <c r="A726" s="19">
        <v>86</v>
      </c>
      <c r="B726" s="14" t="s">
        <v>793</v>
      </c>
      <c r="D726" s="14" t="s">
        <v>1766</v>
      </c>
      <c r="E726" s="14" t="s">
        <v>1767</v>
      </c>
      <c r="F726" s="15" t="str">
        <f>CONCATENATE(Tabla1[[#This Row],[NOMBRE_MPIO]]," (",Tabla1[[#This Row],[NOMBRE_DEPTO]],")")</f>
        <v>PUERTO GUZMAN (PUTUMAYO)</v>
      </c>
      <c r="G726" s="19" t="s">
        <v>1767</v>
      </c>
    </row>
    <row r="727" spans="1:7" x14ac:dyDescent="0.15">
      <c r="A727" s="19">
        <v>86</v>
      </c>
      <c r="B727" s="14" t="s">
        <v>793</v>
      </c>
      <c r="D727" s="14" t="s">
        <v>1768</v>
      </c>
      <c r="E727" s="14" t="s">
        <v>1769</v>
      </c>
      <c r="F727" s="15" t="str">
        <f>CONCATENATE(Tabla1[[#This Row],[NOMBRE_MPIO]]," (",Tabla1[[#This Row],[NOMBRE_DEPTO]],")")</f>
        <v>PUERTO LEGUIZAMO (PUTUMAYO)</v>
      </c>
      <c r="G727" s="19" t="s">
        <v>1769</v>
      </c>
    </row>
    <row r="728" spans="1:7" x14ac:dyDescent="0.15">
      <c r="A728" s="19">
        <v>23</v>
      </c>
      <c r="B728" s="14" t="s">
        <v>276</v>
      </c>
      <c r="D728" s="14" t="s">
        <v>1770</v>
      </c>
      <c r="E728" s="14" t="s">
        <v>1771</v>
      </c>
      <c r="F728" s="15" t="str">
        <f>CONCATENATE(Tabla1[[#This Row],[NOMBRE_MPIO]]," (",Tabla1[[#This Row],[NOMBRE_DEPTO]],")")</f>
        <v>PUERTO LIBERTADOR (CORDOBA)</v>
      </c>
      <c r="G728" s="19" t="s">
        <v>1771</v>
      </c>
    </row>
    <row r="729" spans="1:7" x14ac:dyDescent="0.15">
      <c r="A729" s="19">
        <v>50</v>
      </c>
      <c r="B729" s="14" t="s">
        <v>22</v>
      </c>
      <c r="D729" s="14" t="s">
        <v>1772</v>
      </c>
      <c r="E729" s="14" t="s">
        <v>1773</v>
      </c>
      <c r="F729" s="15" t="str">
        <f>CONCATENATE(Tabla1[[#This Row],[NOMBRE_MPIO]]," (",Tabla1[[#This Row],[NOMBRE_DEPTO]],")")</f>
        <v>PUERTO LLERAS (META)</v>
      </c>
      <c r="G729" s="19" t="s">
        <v>1773</v>
      </c>
    </row>
    <row r="730" spans="1:7" x14ac:dyDescent="0.15">
      <c r="A730" s="19">
        <v>50</v>
      </c>
      <c r="B730" s="14" t="s">
        <v>22</v>
      </c>
      <c r="D730" s="14" t="s">
        <v>1774</v>
      </c>
      <c r="E730" s="14" t="s">
        <v>1775</v>
      </c>
      <c r="F730" s="15" t="str">
        <f>CONCATENATE(Tabla1[[#This Row],[NOMBRE_MPIO]]," (",Tabla1[[#This Row],[NOMBRE_DEPTO]],")")</f>
        <v>PUERTO LoPEZ (META)</v>
      </c>
      <c r="G730" s="19" t="s">
        <v>1775</v>
      </c>
    </row>
    <row r="731" spans="1:7" x14ac:dyDescent="0.15">
      <c r="A731" s="19">
        <v>5</v>
      </c>
      <c r="B731" s="14" t="s">
        <v>9</v>
      </c>
      <c r="C731" s="14" t="s">
        <v>580</v>
      </c>
      <c r="D731" s="14" t="s">
        <v>1776</v>
      </c>
      <c r="E731" s="14" t="s">
        <v>1777</v>
      </c>
      <c r="F731" s="15" t="str">
        <f>CONCATENATE(Tabla1[[#This Row],[NOMBRE_MPIO]]," (",Tabla1[[#This Row],[NOMBRE_DEPTO]],")")</f>
        <v>PUERTO NARE (ANTIOQUIA)</v>
      </c>
      <c r="G731" s="19" t="s">
        <v>1777</v>
      </c>
    </row>
    <row r="732" spans="1:7" x14ac:dyDescent="0.15">
      <c r="A732" s="19">
        <v>91</v>
      </c>
      <c r="B732" s="14" t="s">
        <v>950</v>
      </c>
      <c r="C732" s="14" t="s">
        <v>950</v>
      </c>
      <c r="D732" s="14" t="s">
        <v>1778</v>
      </c>
      <c r="E732" s="14" t="s">
        <v>1779</v>
      </c>
      <c r="F732" s="15" t="str">
        <f>CONCATENATE(Tabla1[[#This Row],[NOMBRE_MPIO]]," (",Tabla1[[#This Row],[NOMBRE_DEPTO]],")")</f>
        <v>PUERTO NARIÑO (AMAZONAS)</v>
      </c>
      <c r="G732" s="19" t="s">
        <v>1779</v>
      </c>
    </row>
    <row r="733" spans="1:7" x14ac:dyDescent="0.15">
      <c r="A733" s="19">
        <v>68</v>
      </c>
      <c r="B733" s="14" t="s">
        <v>56</v>
      </c>
      <c r="D733" s="14" t="s">
        <v>1780</v>
      </c>
      <c r="E733" s="14" t="s">
        <v>1781</v>
      </c>
      <c r="F733" s="15" t="str">
        <f>CONCATENATE(Tabla1[[#This Row],[NOMBRE_MPIO]]," (",Tabla1[[#This Row],[NOMBRE_DEPTO]],")")</f>
        <v>PUERTO PARRA (SANTANDER)</v>
      </c>
      <c r="G733" s="19" t="s">
        <v>1781</v>
      </c>
    </row>
    <row r="734" spans="1:7" x14ac:dyDescent="0.15">
      <c r="A734" s="19">
        <v>18</v>
      </c>
      <c r="B734" s="14" t="s">
        <v>84</v>
      </c>
      <c r="C734" s="14" t="s">
        <v>84</v>
      </c>
      <c r="D734" s="14" t="s">
        <v>632</v>
      </c>
      <c r="E734" s="14" t="s">
        <v>1782</v>
      </c>
      <c r="F734" s="15" t="str">
        <f>CONCATENATE(Tabla1[[#This Row],[NOMBRE_MPIO]]," (",Tabla1[[#This Row],[NOMBRE_DEPTO]],")")</f>
        <v>PUERTO RICO (CAQUETA)</v>
      </c>
      <c r="G734" s="19" t="s">
        <v>1782</v>
      </c>
    </row>
    <row r="735" spans="1:7" x14ac:dyDescent="0.15">
      <c r="A735" s="19">
        <v>50</v>
      </c>
      <c r="B735" s="14" t="s">
        <v>22</v>
      </c>
      <c r="D735" s="14" t="s">
        <v>632</v>
      </c>
      <c r="E735" s="14" t="s">
        <v>1783</v>
      </c>
      <c r="F735" s="15" t="str">
        <f>CONCATENATE(Tabla1[[#This Row],[NOMBRE_MPIO]]," (",Tabla1[[#This Row],[NOMBRE_DEPTO]],")")</f>
        <v>PUERTO RICO (META)</v>
      </c>
      <c r="G735" s="19" t="s">
        <v>1783</v>
      </c>
    </row>
    <row r="736" spans="1:7" x14ac:dyDescent="0.15">
      <c r="A736" s="19">
        <v>81</v>
      </c>
      <c r="B736" s="14" t="s">
        <v>213</v>
      </c>
      <c r="C736" s="14" t="s">
        <v>213</v>
      </c>
      <c r="D736" s="14" t="s">
        <v>1784</v>
      </c>
      <c r="E736" s="14" t="s">
        <v>1785</v>
      </c>
      <c r="F736" s="15" t="str">
        <f>CONCATENATE(Tabla1[[#This Row],[NOMBRE_MPIO]]," (",Tabla1[[#This Row],[NOMBRE_DEPTO]],")")</f>
        <v>PUERTO RONDÓN (ARAUCA)</v>
      </c>
      <c r="G736" s="19" t="s">
        <v>1785</v>
      </c>
    </row>
    <row r="737" spans="1:7" x14ac:dyDescent="0.15">
      <c r="A737" s="19">
        <v>25</v>
      </c>
      <c r="B737" s="14" t="s">
        <v>46</v>
      </c>
      <c r="D737" s="14" t="s">
        <v>1786</v>
      </c>
      <c r="E737" s="14" t="s">
        <v>1787</v>
      </c>
      <c r="F737" s="15" t="str">
        <f>CONCATENATE(Tabla1[[#This Row],[NOMBRE_MPIO]]," (",Tabla1[[#This Row],[NOMBRE_DEPTO]],")")</f>
        <v>PUERTO SALGAR (CUNDINAMARCA)</v>
      </c>
      <c r="G737" s="19" t="s">
        <v>1787</v>
      </c>
    </row>
    <row r="738" spans="1:7" x14ac:dyDescent="0.15">
      <c r="A738" s="19">
        <v>91</v>
      </c>
      <c r="B738" s="14" t="s">
        <v>950</v>
      </c>
      <c r="C738" s="14" t="s">
        <v>950</v>
      </c>
      <c r="D738" s="14" t="s">
        <v>1788</v>
      </c>
      <c r="E738" s="14" t="s">
        <v>1789</v>
      </c>
      <c r="F738" s="15" t="str">
        <f>CONCATENATE(Tabla1[[#This Row],[NOMBRE_MPIO]]," (",Tabla1[[#This Row],[NOMBRE_DEPTO]],")")</f>
        <v>PUERTO SANTANDER (AMAZONAS)</v>
      </c>
      <c r="G738" s="19" t="s">
        <v>1789</v>
      </c>
    </row>
    <row r="739" spans="1:7" x14ac:dyDescent="0.15">
      <c r="A739" s="19">
        <v>54</v>
      </c>
      <c r="B739" s="14" t="s">
        <v>14</v>
      </c>
      <c r="D739" s="14" t="s">
        <v>1788</v>
      </c>
      <c r="E739" s="14" t="s">
        <v>1790</v>
      </c>
      <c r="F739" s="15" t="str">
        <f>CONCATENATE(Tabla1[[#This Row],[NOMBRE_MPIO]]," (",Tabla1[[#This Row],[NOMBRE_DEPTO]],")")</f>
        <v>PUERTO SANTANDER (NORTE DE SANTANDER)</v>
      </c>
      <c r="G739" s="19" t="s">
        <v>1790</v>
      </c>
    </row>
    <row r="740" spans="1:7" x14ac:dyDescent="0.15">
      <c r="A740" s="19">
        <v>19</v>
      </c>
      <c r="B740" s="14" t="s">
        <v>109</v>
      </c>
      <c r="C740" s="14" t="s">
        <v>62</v>
      </c>
      <c r="D740" s="14" t="s">
        <v>1791</v>
      </c>
      <c r="E740" s="14" t="s">
        <v>1792</v>
      </c>
      <c r="F740" s="15" t="str">
        <f>CONCATENATE(Tabla1[[#This Row],[NOMBRE_MPIO]]," (",Tabla1[[#This Row],[NOMBRE_DEPTO]],")")</f>
        <v>PUERTO TEJADA (CAUCA)</v>
      </c>
      <c r="G740" s="19" t="s">
        <v>1792</v>
      </c>
    </row>
    <row r="741" spans="1:7" x14ac:dyDescent="0.15">
      <c r="A741" s="19">
        <v>5</v>
      </c>
      <c r="B741" s="14" t="s">
        <v>9</v>
      </c>
      <c r="C741" s="14" t="s">
        <v>580</v>
      </c>
      <c r="D741" s="14" t="s">
        <v>1793</v>
      </c>
      <c r="E741" s="14" t="s">
        <v>1794</v>
      </c>
      <c r="F741" s="15" t="str">
        <f>CONCATENATE(Tabla1[[#This Row],[NOMBRE_MPIO]]," (",Tabla1[[#This Row],[NOMBRE_DEPTO]],")")</f>
        <v>PUERTO TRIUNFO (ANTIOQUIA)</v>
      </c>
      <c r="G741" s="19" t="s">
        <v>1794</v>
      </c>
    </row>
    <row r="742" spans="1:7" x14ac:dyDescent="0.15">
      <c r="A742" s="19">
        <v>68</v>
      </c>
      <c r="B742" s="14" t="s">
        <v>56</v>
      </c>
      <c r="D742" s="14" t="s">
        <v>1795</v>
      </c>
      <c r="E742" s="14" t="s">
        <v>1796</v>
      </c>
      <c r="F742" s="15" t="str">
        <f>CONCATENATE(Tabla1[[#This Row],[NOMBRE_MPIO]]," (",Tabla1[[#This Row],[NOMBRE_DEPTO]],")")</f>
        <v>PUERTO WILCHES (SANTANDER)</v>
      </c>
      <c r="G742" s="19" t="s">
        <v>1796</v>
      </c>
    </row>
    <row r="743" spans="1:7" x14ac:dyDescent="0.15">
      <c r="A743" s="19">
        <v>25</v>
      </c>
      <c r="B743" s="14" t="s">
        <v>46</v>
      </c>
      <c r="D743" s="14" t="s">
        <v>1797</v>
      </c>
      <c r="E743" s="14" t="s">
        <v>1798</v>
      </c>
      <c r="F743" s="15" t="str">
        <f>CONCATENATE(Tabla1[[#This Row],[NOMBRE_MPIO]]," (",Tabla1[[#This Row],[NOMBRE_DEPTO]],")")</f>
        <v>PULI (CUNDINAMARCA)</v>
      </c>
      <c r="G743" s="19" t="s">
        <v>1798</v>
      </c>
    </row>
    <row r="744" spans="1:7" x14ac:dyDescent="0.15">
      <c r="A744" s="19">
        <v>52</v>
      </c>
      <c r="B744" s="14" t="s">
        <v>80</v>
      </c>
      <c r="D744" s="14" t="s">
        <v>1799</v>
      </c>
      <c r="E744" s="14" t="s">
        <v>1800</v>
      </c>
      <c r="F744" s="15" t="str">
        <f>CONCATENATE(Tabla1[[#This Row],[NOMBRE_MPIO]]," (",Tabla1[[#This Row],[NOMBRE_DEPTO]],")")</f>
        <v>PUPIALES (NARIÑO)</v>
      </c>
      <c r="G744" s="19" t="s">
        <v>1800</v>
      </c>
    </row>
    <row r="745" spans="1:7" x14ac:dyDescent="0.15">
      <c r="A745" s="19">
        <v>19</v>
      </c>
      <c r="B745" s="14" t="s">
        <v>109</v>
      </c>
      <c r="C745" s="14" t="s">
        <v>10</v>
      </c>
      <c r="D745" s="14" t="s">
        <v>1801</v>
      </c>
      <c r="E745" s="14" t="s">
        <v>1802</v>
      </c>
      <c r="F745" s="15" t="str">
        <f>CONCATENATE(Tabla1[[#This Row],[NOMBRE_MPIO]]," (",Tabla1[[#This Row],[NOMBRE_DEPTO]],")")</f>
        <v>PURACE (CAUCA)</v>
      </c>
      <c r="G745" s="19" t="s">
        <v>1802</v>
      </c>
    </row>
    <row r="746" spans="1:7" x14ac:dyDescent="0.15">
      <c r="A746" s="19">
        <v>73</v>
      </c>
      <c r="B746" s="14" t="s">
        <v>117</v>
      </c>
      <c r="D746" s="14" t="s">
        <v>1803</v>
      </c>
      <c r="E746" s="14" t="s">
        <v>1804</v>
      </c>
      <c r="F746" s="15" t="str">
        <f>CONCATENATE(Tabla1[[#This Row],[NOMBRE_MPIO]]," (",Tabla1[[#This Row],[NOMBRE_DEPTO]],")")</f>
        <v>PURIFICACIÓN (TOLIMA)</v>
      </c>
      <c r="G746" s="19" t="s">
        <v>1804</v>
      </c>
    </row>
    <row r="747" spans="1:7" x14ac:dyDescent="0.15">
      <c r="A747" s="19">
        <v>23</v>
      </c>
      <c r="B747" s="14" t="s">
        <v>276</v>
      </c>
      <c r="D747" s="14" t="s">
        <v>1805</v>
      </c>
      <c r="E747" s="14" t="s">
        <v>1806</v>
      </c>
      <c r="F747" s="15" t="str">
        <f>CONCATENATE(Tabla1[[#This Row],[NOMBRE_MPIO]]," (",Tabla1[[#This Row],[NOMBRE_DEPTO]],")")</f>
        <v>PURÍSIMA (CORDOBA)</v>
      </c>
      <c r="G747" s="19" t="s">
        <v>1806</v>
      </c>
    </row>
    <row r="748" spans="1:7" x14ac:dyDescent="0.15">
      <c r="A748" s="19">
        <v>25</v>
      </c>
      <c r="B748" s="14" t="s">
        <v>46</v>
      </c>
      <c r="D748" s="14" t="s">
        <v>1807</v>
      </c>
      <c r="E748" s="14" t="s">
        <v>1808</v>
      </c>
      <c r="F748" s="15" t="str">
        <f>CONCATENATE(Tabla1[[#This Row],[NOMBRE_MPIO]]," (",Tabla1[[#This Row],[NOMBRE_DEPTO]],")")</f>
        <v>QUEBRADANEGRA (CUNDINAMARCA)</v>
      </c>
      <c r="G748" s="19" t="s">
        <v>1808</v>
      </c>
    </row>
    <row r="749" spans="1:7" x14ac:dyDescent="0.15">
      <c r="A749" s="19">
        <v>25</v>
      </c>
      <c r="B749" s="14" t="s">
        <v>46</v>
      </c>
      <c r="D749" s="14" t="s">
        <v>1809</v>
      </c>
      <c r="E749" s="14" t="s">
        <v>1810</v>
      </c>
      <c r="F749" s="15" t="str">
        <f>CONCATENATE(Tabla1[[#This Row],[NOMBRE_MPIO]]," (",Tabla1[[#This Row],[NOMBRE_DEPTO]],")")</f>
        <v>QUETAME (CUNDINAMARCA)</v>
      </c>
      <c r="G749" s="19" t="s">
        <v>1810</v>
      </c>
    </row>
    <row r="750" spans="1:7" x14ac:dyDescent="0.15">
      <c r="A750" s="19">
        <v>27</v>
      </c>
      <c r="B750" s="14" t="s">
        <v>27</v>
      </c>
      <c r="C750" s="14" t="s">
        <v>273</v>
      </c>
      <c r="D750" s="14" t="s">
        <v>1811</v>
      </c>
      <c r="E750" s="14" t="s">
        <v>1812</v>
      </c>
      <c r="F750" s="15" t="str">
        <f>CONCATENATE(Tabla1[[#This Row],[NOMBRE_MPIO]]," (",Tabla1[[#This Row],[NOMBRE_DEPTO]],")")</f>
        <v>QUIBDÓ (CHOCO)</v>
      </c>
      <c r="G750" s="19" t="s">
        <v>1812</v>
      </c>
    </row>
    <row r="751" spans="1:7" x14ac:dyDescent="0.15">
      <c r="A751" s="19">
        <v>63</v>
      </c>
      <c r="B751" s="14" t="s">
        <v>256</v>
      </c>
      <c r="D751" s="14" t="s">
        <v>1813</v>
      </c>
      <c r="E751" s="14" t="s">
        <v>1814</v>
      </c>
      <c r="F751" s="15" t="str">
        <f>CONCATENATE(Tabla1[[#This Row],[NOMBRE_MPIO]]," (",Tabla1[[#This Row],[NOMBRE_DEPTO]],")")</f>
        <v>QUIMBAYA (QUINDIO)</v>
      </c>
      <c r="G751" s="19" t="s">
        <v>1814</v>
      </c>
    </row>
    <row r="752" spans="1:7" x14ac:dyDescent="0.15">
      <c r="A752" s="19">
        <v>66</v>
      </c>
      <c r="B752" s="14" t="s">
        <v>191</v>
      </c>
      <c r="D752" s="14" t="s">
        <v>1815</v>
      </c>
      <c r="E752" s="14" t="s">
        <v>1816</v>
      </c>
      <c r="F752" s="15" t="str">
        <f>CONCATENATE(Tabla1[[#This Row],[NOMBRE_MPIO]]," (",Tabla1[[#This Row],[NOMBRE_DEPTO]],")")</f>
        <v>QUINCHiA (RISARALDA)</v>
      </c>
      <c r="G752" s="19" t="s">
        <v>1816</v>
      </c>
    </row>
    <row r="753" spans="1:7" x14ac:dyDescent="0.15">
      <c r="A753" s="19">
        <v>15</v>
      </c>
      <c r="B753" s="14" t="s">
        <v>113</v>
      </c>
      <c r="C753" s="14" t="s">
        <v>15</v>
      </c>
      <c r="D753" s="14" t="s">
        <v>1817</v>
      </c>
      <c r="E753" s="14" t="s">
        <v>1818</v>
      </c>
      <c r="F753" s="15" t="str">
        <f>CONCATENATE(Tabla1[[#This Row],[NOMBRE_MPIO]]," (",Tabla1[[#This Row],[NOMBRE_DEPTO]],")")</f>
        <v>QUÍPAMA (BOYACÁ)</v>
      </c>
      <c r="G753" s="19" t="s">
        <v>1818</v>
      </c>
    </row>
    <row r="754" spans="1:7" x14ac:dyDescent="0.15">
      <c r="A754" s="19">
        <v>25</v>
      </c>
      <c r="B754" s="14" t="s">
        <v>46</v>
      </c>
      <c r="D754" s="14" t="s">
        <v>1819</v>
      </c>
      <c r="E754" s="14" t="s">
        <v>1820</v>
      </c>
      <c r="F754" s="15" t="str">
        <f>CONCATENATE(Tabla1[[#This Row],[NOMBRE_MPIO]]," (",Tabla1[[#This Row],[NOMBRE_DEPTO]],")")</f>
        <v>QUIPILE (CUNDINAMARCA)</v>
      </c>
      <c r="G754" s="19" t="s">
        <v>1820</v>
      </c>
    </row>
    <row r="755" spans="1:7" x14ac:dyDescent="0.15">
      <c r="A755" s="19">
        <v>54</v>
      </c>
      <c r="B755" s="14" t="s">
        <v>14</v>
      </c>
      <c r="D755" s="14" t="s">
        <v>1821</v>
      </c>
      <c r="E755" s="14" t="s">
        <v>1822</v>
      </c>
      <c r="F755" s="15" t="str">
        <f>CONCATENATE(Tabla1[[#This Row],[NOMBRE_MPIO]]," (",Tabla1[[#This Row],[NOMBRE_DEPTO]],")")</f>
        <v>RAGONVALIA (NORTE DE SANTANDER)</v>
      </c>
      <c r="G755" s="19" t="s">
        <v>1822</v>
      </c>
    </row>
    <row r="756" spans="1:7" x14ac:dyDescent="0.15">
      <c r="A756" s="19">
        <v>15</v>
      </c>
      <c r="B756" s="14" t="s">
        <v>113</v>
      </c>
      <c r="C756" s="14" t="s">
        <v>418</v>
      </c>
      <c r="D756" s="14" t="s">
        <v>1823</v>
      </c>
      <c r="E756" s="14" t="s">
        <v>1824</v>
      </c>
      <c r="F756" s="15" t="str">
        <f>CONCATENATE(Tabla1[[#This Row],[NOMBRE_MPIO]]," (",Tabla1[[#This Row],[NOMBRE_DEPTO]],")")</f>
        <v>RAMIRIQUÍ (BOYACÁ)</v>
      </c>
      <c r="G756" s="19" t="s">
        <v>1824</v>
      </c>
    </row>
    <row r="757" spans="1:7" x14ac:dyDescent="0.15">
      <c r="A757" s="19">
        <v>15</v>
      </c>
      <c r="B757" s="14" t="s">
        <v>113</v>
      </c>
      <c r="C757" s="14" t="s">
        <v>232</v>
      </c>
      <c r="D757" s="14" t="s">
        <v>1825</v>
      </c>
      <c r="E757" s="14" t="s">
        <v>1826</v>
      </c>
      <c r="F757" s="15" t="str">
        <f>CONCATENATE(Tabla1[[#This Row],[NOMBRE_MPIO]]," (",Tabla1[[#This Row],[NOMBRE_DEPTO]],")")</f>
        <v>RÁQUIRA (BOYACÁ)</v>
      </c>
      <c r="G757" s="19" t="s">
        <v>1826</v>
      </c>
    </row>
    <row r="758" spans="1:7" x14ac:dyDescent="0.15">
      <c r="A758" s="19">
        <v>85</v>
      </c>
      <c r="B758" s="14" t="s">
        <v>66</v>
      </c>
      <c r="C758" s="14" t="s">
        <v>66</v>
      </c>
      <c r="D758" s="14" t="s">
        <v>1827</v>
      </c>
      <c r="E758" s="14" t="s">
        <v>1828</v>
      </c>
      <c r="F758" s="15" t="str">
        <f>CONCATENATE(Tabla1[[#This Row],[NOMBRE_MPIO]]," (",Tabla1[[#This Row],[NOMBRE_DEPTO]],")")</f>
        <v>RECETOR (CASANARE)</v>
      </c>
      <c r="G758" s="19" t="s">
        <v>1828</v>
      </c>
    </row>
    <row r="759" spans="1:7" x14ac:dyDescent="0.15">
      <c r="A759" s="19">
        <v>13</v>
      </c>
      <c r="B759" s="14" t="s">
        <v>37</v>
      </c>
      <c r="C759" s="14" t="s">
        <v>129</v>
      </c>
      <c r="D759" s="14" t="s">
        <v>1829</v>
      </c>
      <c r="E759" s="14" t="s">
        <v>1830</v>
      </c>
      <c r="F759" s="15" t="str">
        <f>CONCATENATE(Tabla1[[#This Row],[NOMBRE_MPIO]]," (",Tabla1[[#This Row],[NOMBRE_DEPTO]],")")</f>
        <v>REGIDOR (BOLIVAR)</v>
      </c>
      <c r="G759" s="19" t="s">
        <v>1830</v>
      </c>
    </row>
    <row r="760" spans="1:7" x14ac:dyDescent="0.15">
      <c r="A760" s="19">
        <v>5</v>
      </c>
      <c r="B760" s="14" t="s">
        <v>9</v>
      </c>
      <c r="C760" s="14" t="s">
        <v>141</v>
      </c>
      <c r="D760" s="14" t="s">
        <v>1831</v>
      </c>
      <c r="E760" s="14" t="s">
        <v>1832</v>
      </c>
      <c r="F760" s="15" t="str">
        <f>CONCATENATE(Tabla1[[#This Row],[NOMBRE_MPIO]]," (",Tabla1[[#This Row],[NOMBRE_DEPTO]],")")</f>
        <v>REMEDIOS (ANTIOQUIA)</v>
      </c>
      <c r="G760" s="19" t="s">
        <v>1832</v>
      </c>
    </row>
    <row r="761" spans="1:7" x14ac:dyDescent="0.15">
      <c r="A761" s="19">
        <v>47</v>
      </c>
      <c r="B761" s="14" t="s">
        <v>102</v>
      </c>
      <c r="D761" s="14" t="s">
        <v>1833</v>
      </c>
      <c r="E761" s="14" t="s">
        <v>1834</v>
      </c>
      <c r="F761" s="15" t="str">
        <f>CONCATENATE(Tabla1[[#This Row],[NOMBRE_MPIO]]," (",Tabla1[[#This Row],[NOMBRE_DEPTO]],")")</f>
        <v>REMOLINO (MAGDALENA)</v>
      </c>
      <c r="G761" s="19" t="s">
        <v>1834</v>
      </c>
    </row>
    <row r="762" spans="1:7" x14ac:dyDescent="0.15">
      <c r="A762" s="19">
        <v>8</v>
      </c>
      <c r="B762" s="14" t="s">
        <v>296</v>
      </c>
      <c r="C762" s="14" t="s">
        <v>33</v>
      </c>
      <c r="D762" s="14" t="s">
        <v>1835</v>
      </c>
      <c r="E762" s="14" t="s">
        <v>1836</v>
      </c>
      <c r="F762" s="15" t="str">
        <f>CONCATENATE(Tabla1[[#This Row],[NOMBRE_MPIO]]," (",Tabla1[[#This Row],[NOMBRE_DEPTO]],")")</f>
        <v>REPELON (ATLÁNTICO)</v>
      </c>
      <c r="G762" s="19" t="s">
        <v>1836</v>
      </c>
    </row>
    <row r="763" spans="1:7" x14ac:dyDescent="0.15">
      <c r="A763" s="19">
        <v>50</v>
      </c>
      <c r="B763" s="14" t="s">
        <v>22</v>
      </c>
      <c r="D763" s="14" t="s">
        <v>1837</v>
      </c>
      <c r="E763" s="14" t="s">
        <v>1838</v>
      </c>
      <c r="F763" s="15" t="str">
        <f>CONCATENATE(Tabla1[[#This Row],[NOMBRE_MPIO]]," (",Tabla1[[#This Row],[NOMBRE_DEPTO]],")")</f>
        <v>RESTREPO (META)</v>
      </c>
      <c r="G763" s="19" t="s">
        <v>1838</v>
      </c>
    </row>
    <row r="764" spans="1:7" x14ac:dyDescent="0.15">
      <c r="A764" s="19">
        <v>76</v>
      </c>
      <c r="B764" s="14" t="s">
        <v>92</v>
      </c>
      <c r="D764" s="14" t="s">
        <v>1837</v>
      </c>
      <c r="E764" s="14" t="s">
        <v>1839</v>
      </c>
      <c r="F764" s="15" t="str">
        <f>CONCATENATE(Tabla1[[#This Row],[NOMBRE_MPIO]]," (",Tabla1[[#This Row],[NOMBRE_DEPTO]],")")</f>
        <v>RESTREPO (VALLE DEL CAUCA)</v>
      </c>
      <c r="G764" s="19" t="s">
        <v>1839</v>
      </c>
    </row>
    <row r="765" spans="1:7" x14ac:dyDescent="0.15">
      <c r="A765" s="19">
        <v>5</v>
      </c>
      <c r="B765" s="14" t="s">
        <v>9</v>
      </c>
      <c r="C765" s="14" t="s">
        <v>10</v>
      </c>
      <c r="D765" s="14" t="s">
        <v>1840</v>
      </c>
      <c r="E765" s="14" t="s">
        <v>1841</v>
      </c>
      <c r="F765" s="15" t="str">
        <f>CONCATENATE(Tabla1[[#This Row],[NOMBRE_MPIO]]," (",Tabla1[[#This Row],[NOMBRE_DEPTO]],")")</f>
        <v>RETIRO (ANTIOQUIA)</v>
      </c>
      <c r="G765" s="19" t="s">
        <v>1841</v>
      </c>
    </row>
    <row r="766" spans="1:7" x14ac:dyDescent="0.15">
      <c r="A766" s="19">
        <v>25</v>
      </c>
      <c r="B766" s="14" t="s">
        <v>46</v>
      </c>
      <c r="D766" s="14" t="s">
        <v>232</v>
      </c>
      <c r="E766" s="14" t="s">
        <v>1842</v>
      </c>
      <c r="F766" s="15" t="str">
        <f>CONCATENATE(Tabla1[[#This Row],[NOMBRE_MPIO]]," (",Tabla1[[#This Row],[NOMBRE_DEPTO]],")")</f>
        <v>RICAURTE (CUNDINAMARCA)</v>
      </c>
      <c r="G766" s="19" t="s">
        <v>1842</v>
      </c>
    </row>
    <row r="767" spans="1:7" x14ac:dyDescent="0.15">
      <c r="A767" s="19">
        <v>52</v>
      </c>
      <c r="B767" s="14" t="s">
        <v>80</v>
      </c>
      <c r="D767" s="14" t="s">
        <v>232</v>
      </c>
      <c r="E767" s="14" t="s">
        <v>1843</v>
      </c>
      <c r="F767" s="15" t="str">
        <f>CONCATENATE(Tabla1[[#This Row],[NOMBRE_MPIO]]," (",Tabla1[[#This Row],[NOMBRE_DEPTO]],")")</f>
        <v>RICAURTE (NARIÑO)</v>
      </c>
      <c r="G767" s="19" t="s">
        <v>1843</v>
      </c>
    </row>
    <row r="768" spans="1:7" x14ac:dyDescent="0.15">
      <c r="A768" s="19">
        <v>20</v>
      </c>
      <c r="B768" s="14" t="s">
        <v>51</v>
      </c>
      <c r="C768" s="14" t="s">
        <v>52</v>
      </c>
      <c r="D768" s="14" t="s">
        <v>1844</v>
      </c>
      <c r="E768" s="14" t="s">
        <v>1845</v>
      </c>
      <c r="F768" s="15" t="str">
        <f>CONCATENATE(Tabla1[[#This Row],[NOMBRE_MPIO]]," (",Tabla1[[#This Row],[NOMBRE_DEPTO]],")")</f>
        <v>RÍO DE ORO (CESAR)</v>
      </c>
      <c r="G768" s="19" t="s">
        <v>1845</v>
      </c>
    </row>
    <row r="769" spans="1:7" x14ac:dyDescent="0.15">
      <c r="A769" s="19">
        <v>27</v>
      </c>
      <c r="B769" s="14" t="s">
        <v>27</v>
      </c>
      <c r="D769" s="14" t="s">
        <v>1846</v>
      </c>
      <c r="E769" s="14" t="s">
        <v>1847</v>
      </c>
      <c r="F769" s="15" t="str">
        <f>CONCATENATE(Tabla1[[#This Row],[NOMBRE_MPIO]]," (",Tabla1[[#This Row],[NOMBRE_DEPTO]],")")</f>
        <v>RÍO FRÍO (CHOCO)</v>
      </c>
      <c r="G769" s="19" t="s">
        <v>1847</v>
      </c>
    </row>
    <row r="770" spans="1:7" x14ac:dyDescent="0.15">
      <c r="A770" s="19">
        <v>27</v>
      </c>
      <c r="B770" s="14" t="s">
        <v>27</v>
      </c>
      <c r="C770" s="14" t="s">
        <v>273</v>
      </c>
      <c r="D770" s="14" t="s">
        <v>1848</v>
      </c>
      <c r="E770" s="14" t="s">
        <v>1849</v>
      </c>
      <c r="F770" s="15" t="str">
        <f>CONCATENATE(Tabla1[[#This Row],[NOMBRE_MPIO]]," (",Tabla1[[#This Row],[NOMBRE_DEPTO]],")")</f>
        <v>RIO QUITO (CHOCO)</v>
      </c>
      <c r="G770" s="19" t="s">
        <v>1849</v>
      </c>
    </row>
    <row r="771" spans="1:7" x14ac:dyDescent="0.15">
      <c r="A771" s="19">
        <v>13</v>
      </c>
      <c r="B771" s="14" t="s">
        <v>37</v>
      </c>
      <c r="C771" s="14" t="s">
        <v>129</v>
      </c>
      <c r="D771" s="14" t="s">
        <v>1850</v>
      </c>
      <c r="E771" s="14" t="s">
        <v>1851</v>
      </c>
      <c r="F771" s="15" t="str">
        <f>CONCATENATE(Tabla1[[#This Row],[NOMBRE_MPIO]]," (",Tabla1[[#This Row],[NOMBRE_DEPTO]],")")</f>
        <v>RÍO VIEJO (BOLIVAR)</v>
      </c>
      <c r="G771" s="19" t="s">
        <v>1851</v>
      </c>
    </row>
    <row r="772" spans="1:7" x14ac:dyDescent="0.15">
      <c r="A772" s="19">
        <v>73</v>
      </c>
      <c r="B772" s="14" t="s">
        <v>117</v>
      </c>
      <c r="D772" s="14" t="s">
        <v>1852</v>
      </c>
      <c r="E772" s="14" t="s">
        <v>1853</v>
      </c>
      <c r="F772" s="15" t="str">
        <f>CONCATENATE(Tabla1[[#This Row],[NOMBRE_MPIO]]," (",Tabla1[[#This Row],[NOMBRE_DEPTO]],")")</f>
        <v>RIOBLANCO (TOLIMA)</v>
      </c>
      <c r="G772" s="19" t="s">
        <v>1853</v>
      </c>
    </row>
    <row r="773" spans="1:7" x14ac:dyDescent="0.15">
      <c r="A773" s="19">
        <v>76</v>
      </c>
      <c r="B773" s="14" t="s">
        <v>92</v>
      </c>
      <c r="D773" s="14" t="s">
        <v>1854</v>
      </c>
      <c r="E773" s="14" t="s">
        <v>1855</v>
      </c>
      <c r="F773" s="15" t="str">
        <f>CONCATENATE(Tabla1[[#This Row],[NOMBRE_MPIO]]," (",Tabla1[[#This Row],[NOMBRE_DEPTO]],")")</f>
        <v>RIOFRIO (VALLE DEL CAUCA)</v>
      </c>
      <c r="G773" s="19" t="s">
        <v>1855</v>
      </c>
    </row>
    <row r="774" spans="1:7" x14ac:dyDescent="0.15">
      <c r="A774" s="19">
        <v>44</v>
      </c>
      <c r="B774" s="14" t="s">
        <v>87</v>
      </c>
      <c r="D774" s="14" t="s">
        <v>1856</v>
      </c>
      <c r="E774" s="14" t="s">
        <v>1857</v>
      </c>
      <c r="F774" s="15" t="str">
        <f>CONCATENATE(Tabla1[[#This Row],[NOMBRE_MPIO]]," (",Tabla1[[#This Row],[NOMBRE_DEPTO]],")")</f>
        <v>RIOHACHA (LA GUAJIRA)</v>
      </c>
      <c r="G774" s="19" t="s">
        <v>1857</v>
      </c>
    </row>
    <row r="775" spans="1:7" x14ac:dyDescent="0.15">
      <c r="A775" s="19">
        <v>5</v>
      </c>
      <c r="B775" s="14" t="s">
        <v>9</v>
      </c>
      <c r="C775" s="14" t="s">
        <v>10</v>
      </c>
      <c r="D775" s="14" t="s">
        <v>1858</v>
      </c>
      <c r="E775" s="14" t="s">
        <v>1859</v>
      </c>
      <c r="F775" s="15" t="str">
        <f>CONCATENATE(Tabla1[[#This Row],[NOMBRE_MPIO]]," (",Tabla1[[#This Row],[NOMBRE_DEPTO]],")")</f>
        <v>RIONEGRO (ANTIOQUIA)</v>
      </c>
      <c r="G775" s="19" t="s">
        <v>1859</v>
      </c>
    </row>
    <row r="776" spans="1:7" x14ac:dyDescent="0.15">
      <c r="A776" s="19">
        <v>68</v>
      </c>
      <c r="B776" s="14" t="s">
        <v>56</v>
      </c>
      <c r="D776" s="14" t="s">
        <v>1858</v>
      </c>
      <c r="E776" s="14" t="s">
        <v>1860</v>
      </c>
      <c r="F776" s="15" t="str">
        <f>CONCATENATE(Tabla1[[#This Row],[NOMBRE_MPIO]]," (",Tabla1[[#This Row],[NOMBRE_DEPTO]],")")</f>
        <v>RIONEGRO (SANTANDER)</v>
      </c>
      <c r="G776" s="19" t="s">
        <v>1860</v>
      </c>
    </row>
    <row r="777" spans="1:7" x14ac:dyDescent="0.15">
      <c r="A777" s="19">
        <v>17</v>
      </c>
      <c r="B777" s="14" t="s">
        <v>61</v>
      </c>
      <c r="C777" s="14" t="s">
        <v>1013</v>
      </c>
      <c r="D777" s="14" t="s">
        <v>1861</v>
      </c>
      <c r="E777" s="14" t="s">
        <v>1862</v>
      </c>
      <c r="F777" s="15" t="str">
        <f>CONCATENATE(Tabla1[[#This Row],[NOMBRE_MPIO]]," (",Tabla1[[#This Row],[NOMBRE_DEPTO]],")")</f>
        <v>RIOSUCIO (CALDAS)</v>
      </c>
      <c r="G777" s="19" t="s">
        <v>1862</v>
      </c>
    </row>
    <row r="778" spans="1:7" x14ac:dyDescent="0.15">
      <c r="A778" s="19">
        <v>27</v>
      </c>
      <c r="B778" s="14" t="s">
        <v>27</v>
      </c>
      <c r="C778" s="14" t="s">
        <v>28</v>
      </c>
      <c r="D778" s="14" t="s">
        <v>1861</v>
      </c>
      <c r="E778" s="14" t="s">
        <v>1863</v>
      </c>
      <c r="F778" s="15" t="str">
        <f>CONCATENATE(Tabla1[[#This Row],[NOMBRE_MPIO]]," (",Tabla1[[#This Row],[NOMBRE_DEPTO]],")")</f>
        <v>RIOSUCIO (CHOCO)</v>
      </c>
      <c r="G778" s="19" t="s">
        <v>1863</v>
      </c>
    </row>
    <row r="779" spans="1:7" x14ac:dyDescent="0.15">
      <c r="A779" s="19">
        <v>17</v>
      </c>
      <c r="B779" s="14" t="s">
        <v>61</v>
      </c>
      <c r="C779" s="14" t="s">
        <v>174</v>
      </c>
      <c r="D779" s="14" t="s">
        <v>191</v>
      </c>
      <c r="E779" s="14" t="s">
        <v>1864</v>
      </c>
      <c r="F779" s="15" t="str">
        <f>CONCATENATE(Tabla1[[#This Row],[NOMBRE_MPIO]]," (",Tabla1[[#This Row],[NOMBRE_DEPTO]],")")</f>
        <v>RISARALDA (CALDAS)</v>
      </c>
      <c r="G779" s="19" t="s">
        <v>1864</v>
      </c>
    </row>
    <row r="780" spans="1:7" x14ac:dyDescent="0.15">
      <c r="A780" s="19">
        <v>41</v>
      </c>
      <c r="B780" s="14" t="s">
        <v>32</v>
      </c>
      <c r="D780" s="14" t="s">
        <v>1865</v>
      </c>
      <c r="E780" s="14" t="s">
        <v>1866</v>
      </c>
      <c r="F780" s="15" t="str">
        <f>CONCATENATE(Tabla1[[#This Row],[NOMBRE_MPIO]]," (",Tabla1[[#This Row],[NOMBRE_DEPTO]],")")</f>
        <v>RIVERA (HUILA)</v>
      </c>
      <c r="G780" s="19" t="s">
        <v>1866</v>
      </c>
    </row>
    <row r="781" spans="1:7" x14ac:dyDescent="0.15">
      <c r="A781" s="19">
        <v>52</v>
      </c>
      <c r="B781" s="14" t="s">
        <v>80</v>
      </c>
      <c r="D781" s="14" t="s">
        <v>1867</v>
      </c>
      <c r="E781" s="14" t="s">
        <v>1868</v>
      </c>
      <c r="F781" s="15" t="str">
        <f>CONCATENATE(Tabla1[[#This Row],[NOMBRE_MPIO]]," (",Tabla1[[#This Row],[NOMBRE_DEPTO]],")")</f>
        <v>ROBERTO PAYAN (NARIÑO)</v>
      </c>
      <c r="G781" s="19" t="s">
        <v>1868</v>
      </c>
    </row>
    <row r="782" spans="1:7" x14ac:dyDescent="0.15">
      <c r="A782" s="19">
        <v>76</v>
      </c>
      <c r="B782" s="14" t="s">
        <v>92</v>
      </c>
      <c r="D782" s="14" t="s">
        <v>1869</v>
      </c>
      <c r="E782" s="14" t="s">
        <v>1870</v>
      </c>
      <c r="F782" s="15" t="str">
        <f>CONCATENATE(Tabla1[[#This Row],[NOMBRE_MPIO]]," (",Tabla1[[#This Row],[NOMBRE_DEPTO]],")")</f>
        <v>ROLDANILLO (VALLE DEL CAUCA)</v>
      </c>
      <c r="G782" s="19" t="s">
        <v>1870</v>
      </c>
    </row>
    <row r="783" spans="1:7" x14ac:dyDescent="0.15">
      <c r="A783" s="19">
        <v>73</v>
      </c>
      <c r="B783" s="14" t="s">
        <v>117</v>
      </c>
      <c r="D783" s="14" t="s">
        <v>1871</v>
      </c>
      <c r="E783" s="14" t="s">
        <v>1872</v>
      </c>
      <c r="F783" s="15" t="str">
        <f>CONCATENATE(Tabla1[[#This Row],[NOMBRE_MPIO]]," (",Tabla1[[#This Row],[NOMBRE_DEPTO]],")")</f>
        <v>RONCESVALLES (TOLIMA)</v>
      </c>
      <c r="G783" s="19" t="s">
        <v>1872</v>
      </c>
    </row>
    <row r="784" spans="1:7" x14ac:dyDescent="0.15">
      <c r="A784" s="19">
        <v>15</v>
      </c>
      <c r="B784" s="14" t="s">
        <v>113</v>
      </c>
      <c r="C784" s="14" t="s">
        <v>418</v>
      </c>
      <c r="D784" s="14" t="s">
        <v>1873</v>
      </c>
      <c r="E784" s="14" t="s">
        <v>1874</v>
      </c>
      <c r="F784" s="15" t="str">
        <f>CONCATENATE(Tabla1[[#This Row],[NOMBRE_MPIO]]," (",Tabla1[[#This Row],[NOMBRE_DEPTO]],")")</f>
        <v>RONDÓN (BOYACÁ)</v>
      </c>
      <c r="G784" s="19" t="s">
        <v>1874</v>
      </c>
    </row>
    <row r="785" spans="1:7" x14ac:dyDescent="0.15">
      <c r="A785" s="19">
        <v>19</v>
      </c>
      <c r="B785" s="14" t="s">
        <v>109</v>
      </c>
      <c r="C785" s="14" t="s">
        <v>42</v>
      </c>
      <c r="D785" s="14" t="s">
        <v>1875</v>
      </c>
      <c r="E785" s="14" t="s">
        <v>1876</v>
      </c>
      <c r="F785" s="15" t="str">
        <f>CONCATENATE(Tabla1[[#This Row],[NOMBRE_MPIO]]," (",Tabla1[[#This Row],[NOMBRE_DEPTO]],")")</f>
        <v>ROSAS (CAUCA)</v>
      </c>
      <c r="G785" s="19" t="s">
        <v>1876</v>
      </c>
    </row>
    <row r="786" spans="1:7" x14ac:dyDescent="0.15">
      <c r="A786" s="19">
        <v>73</v>
      </c>
      <c r="B786" s="14" t="s">
        <v>117</v>
      </c>
      <c r="D786" s="14" t="s">
        <v>1877</v>
      </c>
      <c r="E786" s="14" t="s">
        <v>1878</v>
      </c>
      <c r="F786" s="15" t="str">
        <f>CONCATENATE(Tabla1[[#This Row],[NOMBRE_MPIO]]," (",Tabla1[[#This Row],[NOMBRE_DEPTO]],")")</f>
        <v>ROVIRA (TOLIMA)</v>
      </c>
      <c r="G786" s="19" t="s">
        <v>1878</v>
      </c>
    </row>
    <row r="787" spans="1:7" x14ac:dyDescent="0.15">
      <c r="A787" s="19">
        <v>68</v>
      </c>
      <c r="B787" s="14" t="s">
        <v>56</v>
      </c>
      <c r="D787" s="14" t="s">
        <v>1879</v>
      </c>
      <c r="E787" s="14" t="s">
        <v>1880</v>
      </c>
      <c r="F787" s="15" t="str">
        <f>CONCATENATE(Tabla1[[#This Row],[NOMBRE_MPIO]]," (",Tabla1[[#This Row],[NOMBRE_DEPTO]],")")</f>
        <v>SABANA DE TORRES (SANTANDER)</v>
      </c>
      <c r="G787" s="19" t="s">
        <v>1880</v>
      </c>
    </row>
    <row r="788" spans="1:7" x14ac:dyDescent="0.15">
      <c r="A788" s="19">
        <v>8</v>
      </c>
      <c r="B788" s="14" t="s">
        <v>296</v>
      </c>
      <c r="C788" s="14" t="s">
        <v>297</v>
      </c>
      <c r="D788" s="14" t="s">
        <v>1881</v>
      </c>
      <c r="E788" s="14" t="s">
        <v>1882</v>
      </c>
      <c r="F788" s="15" t="str">
        <f>CONCATENATE(Tabla1[[#This Row],[NOMBRE_MPIO]]," (",Tabla1[[#This Row],[NOMBRE_DEPTO]],")")</f>
        <v>Sabanagrande (ATLÁNTICO)</v>
      </c>
      <c r="G788" s="19" t="s">
        <v>1882</v>
      </c>
    </row>
    <row r="789" spans="1:7" x14ac:dyDescent="0.15">
      <c r="A789" s="19">
        <v>5</v>
      </c>
      <c r="B789" s="14" t="s">
        <v>9</v>
      </c>
      <c r="C789" s="14" t="s">
        <v>15</v>
      </c>
      <c r="D789" s="14" t="s">
        <v>1883</v>
      </c>
      <c r="E789" s="14" t="s">
        <v>1884</v>
      </c>
      <c r="F789" s="15" t="str">
        <f>CONCATENATE(Tabla1[[#This Row],[NOMBRE_MPIO]]," (",Tabla1[[#This Row],[NOMBRE_DEPTO]],")")</f>
        <v>SABANALARGA (ANTIOQUIA)</v>
      </c>
      <c r="G789" s="19" t="s">
        <v>1884</v>
      </c>
    </row>
    <row r="790" spans="1:7" x14ac:dyDescent="0.15">
      <c r="A790" s="19">
        <v>8</v>
      </c>
      <c r="B790" s="14" t="s">
        <v>296</v>
      </c>
      <c r="C790" s="14" t="s">
        <v>297</v>
      </c>
      <c r="D790" s="14" t="s">
        <v>1883</v>
      </c>
      <c r="E790" s="14" t="s">
        <v>1885</v>
      </c>
      <c r="F790" s="15" t="str">
        <f>CONCATENATE(Tabla1[[#This Row],[NOMBRE_MPIO]]," (",Tabla1[[#This Row],[NOMBRE_DEPTO]],")")</f>
        <v>SABANALARGA (ATLÁNTICO)</v>
      </c>
      <c r="G790" s="19" t="s">
        <v>1885</v>
      </c>
    </row>
    <row r="791" spans="1:7" x14ac:dyDescent="0.15">
      <c r="A791" s="19">
        <v>85</v>
      </c>
      <c r="B791" s="14" t="s">
        <v>66</v>
      </c>
      <c r="C791" s="14" t="s">
        <v>66</v>
      </c>
      <c r="D791" s="14" t="s">
        <v>1883</v>
      </c>
      <c r="E791" s="14" t="s">
        <v>1886</v>
      </c>
      <c r="F791" s="15" t="str">
        <f>CONCATENATE(Tabla1[[#This Row],[NOMBRE_MPIO]]," (",Tabla1[[#This Row],[NOMBRE_DEPTO]],")")</f>
        <v>SABANALARGA (CASANARE)</v>
      </c>
      <c r="G791" s="19" t="s">
        <v>1886</v>
      </c>
    </row>
    <row r="792" spans="1:7" x14ac:dyDescent="0.15">
      <c r="A792" s="19">
        <v>47</v>
      </c>
      <c r="B792" s="14" t="s">
        <v>102</v>
      </c>
      <c r="D792" s="14" t="s">
        <v>1887</v>
      </c>
      <c r="E792" s="14" t="s">
        <v>1888</v>
      </c>
      <c r="F792" s="15" t="str">
        <f>CONCATENATE(Tabla1[[#This Row],[NOMBRE_MPIO]]," (",Tabla1[[#This Row],[NOMBRE_DEPTO]],")")</f>
        <v>SABANAS DE SAN ANGEL (MAGDALENA)</v>
      </c>
      <c r="G792" s="19" t="s">
        <v>1888</v>
      </c>
    </row>
    <row r="793" spans="1:7" x14ac:dyDescent="0.15">
      <c r="A793" s="19">
        <v>5</v>
      </c>
      <c r="B793" s="14" t="s">
        <v>9</v>
      </c>
      <c r="C793" s="14" t="s">
        <v>308</v>
      </c>
      <c r="D793" s="14" t="s">
        <v>1889</v>
      </c>
      <c r="E793" s="14" t="s">
        <v>1890</v>
      </c>
      <c r="F793" s="15" t="str">
        <f>CONCATENATE(Tabla1[[#This Row],[NOMBRE_MPIO]]," (",Tabla1[[#This Row],[NOMBRE_DEPTO]],")")</f>
        <v>SABANETA (ANTIOQUIA)</v>
      </c>
      <c r="G793" s="19" t="s">
        <v>1890</v>
      </c>
    </row>
    <row r="794" spans="1:7" x14ac:dyDescent="0.15">
      <c r="A794" s="19">
        <v>15</v>
      </c>
      <c r="B794" s="14" t="s">
        <v>113</v>
      </c>
      <c r="C794" s="14" t="s">
        <v>15</v>
      </c>
      <c r="D794" s="14" t="s">
        <v>1891</v>
      </c>
      <c r="E794" s="14" t="s">
        <v>1892</v>
      </c>
      <c r="F794" s="15" t="str">
        <f>CONCATENATE(Tabla1[[#This Row],[NOMBRE_MPIO]]," (",Tabla1[[#This Row],[NOMBRE_DEPTO]],")")</f>
        <v>SABOYÁ (BOYACÁ)</v>
      </c>
      <c r="G794" s="19" t="s">
        <v>1892</v>
      </c>
    </row>
    <row r="795" spans="1:7" x14ac:dyDescent="0.15">
      <c r="A795" s="19">
        <v>85</v>
      </c>
      <c r="B795" s="14" t="s">
        <v>66</v>
      </c>
      <c r="C795" s="14" t="s">
        <v>66</v>
      </c>
      <c r="D795" s="14" t="s">
        <v>1893</v>
      </c>
      <c r="E795" s="14" t="s">
        <v>1894</v>
      </c>
      <c r="F795" s="15" t="str">
        <f>CONCATENATE(Tabla1[[#This Row],[NOMBRE_MPIO]]," (",Tabla1[[#This Row],[NOMBRE_DEPTO]],")")</f>
        <v>SÁCAMA (CASANARE)</v>
      </c>
      <c r="G795" s="19" t="s">
        <v>1894</v>
      </c>
    </row>
    <row r="796" spans="1:7" x14ac:dyDescent="0.15">
      <c r="A796" s="19">
        <v>15</v>
      </c>
      <c r="B796" s="14" t="s">
        <v>113</v>
      </c>
      <c r="C796" s="14" t="s">
        <v>232</v>
      </c>
      <c r="D796" s="14" t="s">
        <v>1895</v>
      </c>
      <c r="E796" s="14" t="s">
        <v>1896</v>
      </c>
      <c r="F796" s="15" t="str">
        <f>CONCATENATE(Tabla1[[#This Row],[NOMBRE_MPIO]]," (",Tabla1[[#This Row],[NOMBRE_DEPTO]],")")</f>
        <v>SÁCHICA (BOYACÁ)</v>
      </c>
      <c r="G796" s="19" t="s">
        <v>1896</v>
      </c>
    </row>
    <row r="797" spans="1:7" x14ac:dyDescent="0.15">
      <c r="A797" s="19">
        <v>23</v>
      </c>
      <c r="B797" s="14" t="s">
        <v>276</v>
      </c>
      <c r="D797" s="14" t="s">
        <v>1897</v>
      </c>
      <c r="E797" s="14" t="s">
        <v>1898</v>
      </c>
      <c r="F797" s="15" t="str">
        <f>CONCATENATE(Tabla1[[#This Row],[NOMBRE_MPIO]]," (",Tabla1[[#This Row],[NOMBRE_DEPTO]],")")</f>
        <v>SAHAGÚN (CORDOBA)</v>
      </c>
      <c r="G797" s="19" t="s">
        <v>1898</v>
      </c>
    </row>
    <row r="798" spans="1:7" x14ac:dyDescent="0.15">
      <c r="A798" s="19">
        <v>41</v>
      </c>
      <c r="B798" s="14" t="s">
        <v>32</v>
      </c>
      <c r="D798" s="14" t="s">
        <v>1899</v>
      </c>
      <c r="E798" s="14" t="s">
        <v>1900</v>
      </c>
      <c r="F798" s="15" t="str">
        <f>CONCATENATE(Tabla1[[#This Row],[NOMBRE_MPIO]]," (",Tabla1[[#This Row],[NOMBRE_DEPTO]],")")</f>
        <v>SALADOBLANCO (HUILA)</v>
      </c>
      <c r="G798" s="19" t="s">
        <v>1900</v>
      </c>
    </row>
    <row r="799" spans="1:7" x14ac:dyDescent="0.15">
      <c r="A799" s="19">
        <v>17</v>
      </c>
      <c r="B799" s="14" t="s">
        <v>61</v>
      </c>
      <c r="C799" s="14" t="s">
        <v>62</v>
      </c>
      <c r="D799" s="14" t="s">
        <v>1901</v>
      </c>
      <c r="E799" s="14" t="s">
        <v>1902</v>
      </c>
      <c r="F799" s="15" t="str">
        <f>CONCATENATE(Tabla1[[#This Row],[NOMBRE_MPIO]]," (",Tabla1[[#This Row],[NOMBRE_DEPTO]],")")</f>
        <v>SALAMINA (CALDAS)</v>
      </c>
      <c r="G799" s="19" t="s">
        <v>1902</v>
      </c>
    </row>
    <row r="800" spans="1:7" x14ac:dyDescent="0.15">
      <c r="A800" s="19">
        <v>47</v>
      </c>
      <c r="B800" s="14" t="s">
        <v>102</v>
      </c>
      <c r="D800" s="14" t="s">
        <v>1901</v>
      </c>
      <c r="E800" s="14" t="s">
        <v>1903</v>
      </c>
      <c r="F800" s="15" t="str">
        <f>CONCATENATE(Tabla1[[#This Row],[NOMBRE_MPIO]]," (",Tabla1[[#This Row],[NOMBRE_DEPTO]],")")</f>
        <v>SALAMINA (MAGDALENA)</v>
      </c>
      <c r="G800" s="19" t="s">
        <v>1903</v>
      </c>
    </row>
    <row r="801" spans="1:7" x14ac:dyDescent="0.15">
      <c r="A801" s="19">
        <v>54</v>
      </c>
      <c r="B801" s="14" t="s">
        <v>14</v>
      </c>
      <c r="D801" s="14" t="s">
        <v>1904</v>
      </c>
      <c r="E801" s="14" t="s">
        <v>1905</v>
      </c>
      <c r="F801" s="15" t="str">
        <f>CONCATENATE(Tabla1[[#This Row],[NOMBRE_MPIO]]," (",Tabla1[[#This Row],[NOMBRE_DEPTO]],")")</f>
        <v>SALAZAR (NORTE DE SANTANDER)</v>
      </c>
      <c r="G801" s="19" t="s">
        <v>1905</v>
      </c>
    </row>
    <row r="802" spans="1:7" x14ac:dyDescent="0.15">
      <c r="A802" s="19">
        <v>73</v>
      </c>
      <c r="B802" s="14" t="s">
        <v>117</v>
      </c>
      <c r="D802" s="14" t="s">
        <v>1906</v>
      </c>
      <c r="E802" s="14" t="s">
        <v>1907</v>
      </c>
      <c r="F802" s="15" t="str">
        <f>CONCATENATE(Tabla1[[#This Row],[NOMBRE_MPIO]]," (",Tabla1[[#This Row],[NOMBRE_DEPTO]],")")</f>
        <v>SALDAÑA (TOLIMA)</v>
      </c>
      <c r="G802" s="19" t="s">
        <v>1907</v>
      </c>
    </row>
    <row r="803" spans="1:7" x14ac:dyDescent="0.15">
      <c r="A803" s="19">
        <v>63</v>
      </c>
      <c r="B803" s="14" t="s">
        <v>256</v>
      </c>
      <c r="D803" s="14" t="s">
        <v>1908</v>
      </c>
      <c r="E803" s="14" t="s">
        <v>1909</v>
      </c>
      <c r="F803" s="15" t="str">
        <f>CONCATENATE(Tabla1[[#This Row],[NOMBRE_MPIO]]," (",Tabla1[[#This Row],[NOMBRE_DEPTO]],")")</f>
        <v>SALENTO (QUINDIO)</v>
      </c>
      <c r="G803" s="19" t="s">
        <v>1909</v>
      </c>
    </row>
    <row r="804" spans="1:7" x14ac:dyDescent="0.15">
      <c r="A804" s="19">
        <v>5</v>
      </c>
      <c r="B804" s="14" t="s">
        <v>9</v>
      </c>
      <c r="C804" s="14" t="s">
        <v>137</v>
      </c>
      <c r="D804" s="14" t="s">
        <v>1910</v>
      </c>
      <c r="E804" s="14" t="s">
        <v>1911</v>
      </c>
      <c r="F804" s="15" t="str">
        <f>CONCATENATE(Tabla1[[#This Row],[NOMBRE_MPIO]]," (",Tabla1[[#This Row],[NOMBRE_DEPTO]],")")</f>
        <v>SALGAR (ANTIOQUIA)</v>
      </c>
      <c r="G804" s="19" t="s">
        <v>1911</v>
      </c>
    </row>
    <row r="805" spans="1:7" x14ac:dyDescent="0.15">
      <c r="A805" s="19">
        <v>15</v>
      </c>
      <c r="B805" s="14" t="s">
        <v>113</v>
      </c>
      <c r="C805" s="14" t="s">
        <v>42</v>
      </c>
      <c r="D805" s="14" t="s">
        <v>1912</v>
      </c>
      <c r="E805" s="14" t="s">
        <v>1913</v>
      </c>
      <c r="F805" s="15" t="str">
        <f>CONCATENATE(Tabla1[[#This Row],[NOMBRE_MPIO]]," (",Tabla1[[#This Row],[NOMBRE_DEPTO]],")")</f>
        <v>SAMACÁ (BOYACÁ)</v>
      </c>
      <c r="G805" s="19" t="s">
        <v>1913</v>
      </c>
    </row>
    <row r="806" spans="1:7" x14ac:dyDescent="0.15">
      <c r="A806" s="19">
        <v>17</v>
      </c>
      <c r="B806" s="14" t="s">
        <v>61</v>
      </c>
      <c r="C806" s="14" t="s">
        <v>10</v>
      </c>
      <c r="D806" s="14" t="s">
        <v>1914</v>
      </c>
      <c r="E806" s="14" t="s">
        <v>1915</v>
      </c>
      <c r="F806" s="15" t="str">
        <f>CONCATENATE(Tabla1[[#This Row],[NOMBRE_MPIO]]," (",Tabla1[[#This Row],[NOMBRE_DEPTO]],")")</f>
        <v>SAMANÁ (CALDAS)</v>
      </c>
      <c r="G806" s="19" t="s">
        <v>1915</v>
      </c>
    </row>
    <row r="807" spans="1:7" x14ac:dyDescent="0.15">
      <c r="A807" s="19">
        <v>52</v>
      </c>
      <c r="B807" s="14" t="s">
        <v>80</v>
      </c>
      <c r="D807" s="14" t="s">
        <v>1916</v>
      </c>
      <c r="E807" s="14" t="s">
        <v>1917</v>
      </c>
      <c r="F807" s="15" t="str">
        <f>CONCATENATE(Tabla1[[#This Row],[NOMBRE_MPIO]]," (",Tabla1[[#This Row],[NOMBRE_DEPTO]],")")</f>
        <v>SAMANIEGO (NARIÑO)</v>
      </c>
      <c r="G807" s="19" t="s">
        <v>1917</v>
      </c>
    </row>
    <row r="808" spans="1:7" x14ac:dyDescent="0.15">
      <c r="A808" s="19">
        <v>70</v>
      </c>
      <c r="B808" s="14" t="s">
        <v>443</v>
      </c>
      <c r="D808" s="14" t="s">
        <v>1918</v>
      </c>
      <c r="E808" s="14" t="s">
        <v>1919</v>
      </c>
      <c r="F808" s="15" t="str">
        <f>CONCATENATE(Tabla1[[#This Row],[NOMBRE_MPIO]]," (",Tabla1[[#This Row],[NOMBRE_DEPTO]],")")</f>
        <v>SAMPUÉS (SUCRE)</v>
      </c>
      <c r="G808" s="19" t="s">
        <v>1919</v>
      </c>
    </row>
    <row r="809" spans="1:7" x14ac:dyDescent="0.15">
      <c r="A809" s="19">
        <v>41</v>
      </c>
      <c r="B809" s="14" t="s">
        <v>32</v>
      </c>
      <c r="D809" s="14" t="s">
        <v>1920</v>
      </c>
      <c r="E809" s="14" t="s">
        <v>1921</v>
      </c>
      <c r="F809" s="15" t="str">
        <f>CONCATENATE(Tabla1[[#This Row],[NOMBRE_MPIO]]," (",Tabla1[[#This Row],[NOMBRE_DEPTO]],")")</f>
        <v>SAN AGUSTÍN (HUILA)</v>
      </c>
      <c r="G809" s="19" t="s">
        <v>1921</v>
      </c>
    </row>
    <row r="810" spans="1:7" x14ac:dyDescent="0.15">
      <c r="A810" s="19">
        <v>20</v>
      </c>
      <c r="B810" s="14" t="s">
        <v>51</v>
      </c>
      <c r="C810" s="14" t="s">
        <v>52</v>
      </c>
      <c r="D810" s="14" t="s">
        <v>1922</v>
      </c>
      <c r="E810" s="14" t="s">
        <v>1923</v>
      </c>
      <c r="F810" s="15" t="str">
        <f>CONCATENATE(Tabla1[[#This Row],[NOMBRE_MPIO]]," (",Tabla1[[#This Row],[NOMBRE_DEPTO]],")")</f>
        <v>SAN ALBERTO (CESAR)</v>
      </c>
      <c r="G810" s="19" t="s">
        <v>1923</v>
      </c>
    </row>
    <row r="811" spans="1:7" x14ac:dyDescent="0.15">
      <c r="A811" s="19">
        <v>5</v>
      </c>
      <c r="B811" s="14" t="s">
        <v>9</v>
      </c>
      <c r="C811" s="14" t="s">
        <v>62</v>
      </c>
      <c r="D811" s="14" t="s">
        <v>1924</v>
      </c>
      <c r="E811" s="14" t="s">
        <v>1925</v>
      </c>
      <c r="F811" s="15" t="str">
        <f>CONCATENATE(Tabla1[[#This Row],[NOMBRE_MPIO]]," (",Tabla1[[#This Row],[NOMBRE_DEPTO]],")")</f>
        <v>SAN ANDRÉS (ANTIOQUIA)</v>
      </c>
      <c r="G811" s="19" t="s">
        <v>1925</v>
      </c>
    </row>
    <row r="812" spans="1:7" x14ac:dyDescent="0.15">
      <c r="A812" s="19">
        <v>88</v>
      </c>
      <c r="B812" s="14" t="s">
        <v>1726</v>
      </c>
      <c r="C812" s="14" t="s">
        <v>1726</v>
      </c>
      <c r="D812" s="14" t="s">
        <v>1926</v>
      </c>
      <c r="E812" s="14" t="s">
        <v>1927</v>
      </c>
      <c r="F812" s="15" t="str">
        <f>CONCATENATE(Tabla1[[#This Row],[NOMBRE_MPIO]]," (",Tabla1[[#This Row],[NOMBRE_DEPTO]],")")</f>
        <v>SAN ANDRES (ARCHIPIELAGO DE SAN ANDRES)</v>
      </c>
      <c r="G812" s="19" t="s">
        <v>1927</v>
      </c>
    </row>
    <row r="813" spans="1:7" x14ac:dyDescent="0.15">
      <c r="A813" s="19">
        <v>68</v>
      </c>
      <c r="B813" s="14" t="s">
        <v>56</v>
      </c>
      <c r="D813" s="14" t="s">
        <v>1924</v>
      </c>
      <c r="E813" s="14" t="s">
        <v>1928</v>
      </c>
      <c r="F813" s="15" t="str">
        <f>CONCATENATE(Tabla1[[#This Row],[NOMBRE_MPIO]]," (",Tabla1[[#This Row],[NOMBRE_DEPTO]],")")</f>
        <v>SAN ANDRÉS (SANTANDER)</v>
      </c>
      <c r="G813" s="19" t="s">
        <v>1928</v>
      </c>
    </row>
    <row r="814" spans="1:7" x14ac:dyDescent="0.15">
      <c r="A814" s="19">
        <v>23</v>
      </c>
      <c r="B814" s="14" t="s">
        <v>276</v>
      </c>
      <c r="D814" s="14" t="s">
        <v>1929</v>
      </c>
      <c r="E814" s="14" t="s">
        <v>1930</v>
      </c>
      <c r="F814" s="15" t="str">
        <f>CONCATENATE(Tabla1[[#This Row],[NOMBRE_MPIO]]," (",Tabla1[[#This Row],[NOMBRE_DEPTO]],")")</f>
        <v>SAN ANDRÉS SOTAVENTO (CORDOBA)</v>
      </c>
      <c r="G814" s="19" t="s">
        <v>1930</v>
      </c>
    </row>
    <row r="815" spans="1:7" x14ac:dyDescent="0.15">
      <c r="A815" s="19">
        <v>23</v>
      </c>
      <c r="B815" s="14" t="s">
        <v>276</v>
      </c>
      <c r="D815" s="14" t="s">
        <v>1931</v>
      </c>
      <c r="E815" s="14" t="s">
        <v>1932</v>
      </c>
      <c r="F815" s="15" t="str">
        <f>CONCATENATE(Tabla1[[#This Row],[NOMBRE_MPIO]]," (",Tabla1[[#This Row],[NOMBRE_DEPTO]],")")</f>
        <v>SAN ANTERO (CORDOBA)</v>
      </c>
      <c r="G815" s="19" t="s">
        <v>1932</v>
      </c>
    </row>
    <row r="816" spans="1:7" x14ac:dyDescent="0.15">
      <c r="A816" s="19">
        <v>73</v>
      </c>
      <c r="B816" s="14" t="s">
        <v>117</v>
      </c>
      <c r="D816" s="14" t="s">
        <v>1933</v>
      </c>
      <c r="E816" s="14" t="s">
        <v>1934</v>
      </c>
      <c r="F816" s="15" t="str">
        <f>CONCATENATE(Tabla1[[#This Row],[NOMBRE_MPIO]]," (",Tabla1[[#This Row],[NOMBRE_DEPTO]],")")</f>
        <v>SAN ANTONIO (TOLIMA)</v>
      </c>
      <c r="G816" s="19" t="s">
        <v>1934</v>
      </c>
    </row>
    <row r="817" spans="1:7" x14ac:dyDescent="0.15">
      <c r="A817" s="19">
        <v>25</v>
      </c>
      <c r="B817" s="14" t="s">
        <v>46</v>
      </c>
      <c r="D817" s="14" t="s">
        <v>1935</v>
      </c>
      <c r="E817" s="14" t="s">
        <v>1936</v>
      </c>
      <c r="F817" s="15" t="str">
        <f>CONCATENATE(Tabla1[[#This Row],[NOMBRE_MPIO]]," (",Tabla1[[#This Row],[NOMBRE_DEPTO]],")")</f>
        <v>SAN ANTONIO DE TEQUENDAMA (CUNDINAMARCA)</v>
      </c>
      <c r="G817" s="19" t="s">
        <v>1936</v>
      </c>
    </row>
    <row r="818" spans="1:7" x14ac:dyDescent="0.15">
      <c r="A818" s="19">
        <v>68</v>
      </c>
      <c r="B818" s="14" t="s">
        <v>56</v>
      </c>
      <c r="D818" s="14" t="s">
        <v>1937</v>
      </c>
      <c r="E818" s="14" t="s">
        <v>1938</v>
      </c>
      <c r="F818" s="15" t="str">
        <f>CONCATENATE(Tabla1[[#This Row],[NOMBRE_MPIO]]," (",Tabla1[[#This Row],[NOMBRE_DEPTO]],")")</f>
        <v>SAN BENITO (SANTANDER)</v>
      </c>
      <c r="G818" s="19" t="s">
        <v>1938</v>
      </c>
    </row>
    <row r="819" spans="1:7" x14ac:dyDescent="0.15">
      <c r="A819" s="19">
        <v>70</v>
      </c>
      <c r="B819" s="14" t="s">
        <v>443</v>
      </c>
      <c r="D819" s="14" t="s">
        <v>1939</v>
      </c>
      <c r="E819" s="14" t="s">
        <v>1940</v>
      </c>
      <c r="F819" s="15" t="str">
        <f>CONCATENATE(Tabla1[[#This Row],[NOMBRE_MPIO]]," (",Tabla1[[#This Row],[NOMBRE_DEPTO]],")")</f>
        <v>SAN BENITO ABAD (SUCRE)</v>
      </c>
      <c r="G819" s="19" t="s">
        <v>1940</v>
      </c>
    </row>
    <row r="820" spans="1:7" x14ac:dyDescent="0.15">
      <c r="A820" s="19">
        <v>25</v>
      </c>
      <c r="B820" s="14" t="s">
        <v>46</v>
      </c>
      <c r="D820" s="14" t="s">
        <v>1941</v>
      </c>
      <c r="E820" s="14" t="s">
        <v>1942</v>
      </c>
      <c r="F820" s="15" t="str">
        <f>CONCATENATE(Tabla1[[#This Row],[NOMBRE_MPIO]]," (",Tabla1[[#This Row],[NOMBRE_DEPTO]],")")</f>
        <v>SAN BERNARDO (CUNDINAMARCA)</v>
      </c>
      <c r="G820" s="19" t="s">
        <v>1942</v>
      </c>
    </row>
    <row r="821" spans="1:7" x14ac:dyDescent="0.15">
      <c r="A821" s="19">
        <v>52</v>
      </c>
      <c r="B821" s="14" t="s">
        <v>80</v>
      </c>
      <c r="D821" s="14" t="s">
        <v>1941</v>
      </c>
      <c r="E821" s="14" t="s">
        <v>1943</v>
      </c>
      <c r="F821" s="15" t="str">
        <f>CONCATENATE(Tabla1[[#This Row],[NOMBRE_MPIO]]," (",Tabla1[[#This Row],[NOMBRE_DEPTO]],")")</f>
        <v>SAN BERNARDO (NARIÑO)</v>
      </c>
      <c r="G821" s="19" t="s">
        <v>1943</v>
      </c>
    </row>
    <row r="822" spans="1:7" x14ac:dyDescent="0.15">
      <c r="A822" s="19">
        <v>23</v>
      </c>
      <c r="B822" s="14" t="s">
        <v>276</v>
      </c>
      <c r="D822" s="14" t="s">
        <v>1944</v>
      </c>
      <c r="E822" s="14" t="s">
        <v>1945</v>
      </c>
      <c r="F822" s="15" t="str">
        <f>CONCATENATE(Tabla1[[#This Row],[NOMBRE_MPIO]]," (",Tabla1[[#This Row],[NOMBRE_DEPTO]],")")</f>
        <v>SAN BERNARDO DEL VIENTO (CORDOBA)</v>
      </c>
      <c r="G822" s="19" t="s">
        <v>1945</v>
      </c>
    </row>
    <row r="823" spans="1:7" x14ac:dyDescent="0.15">
      <c r="A823" s="19">
        <v>54</v>
      </c>
      <c r="B823" s="14" t="s">
        <v>14</v>
      </c>
      <c r="D823" s="14" t="s">
        <v>1946</v>
      </c>
      <c r="E823" s="14" t="s">
        <v>1947</v>
      </c>
      <c r="F823" s="15" t="str">
        <f>CONCATENATE(Tabla1[[#This Row],[NOMBRE_MPIO]]," (",Tabla1[[#This Row],[NOMBRE_DEPTO]],")")</f>
        <v>SAN CALIXTO (NORTE DE SANTANDER)</v>
      </c>
      <c r="G823" s="19" t="s">
        <v>1947</v>
      </c>
    </row>
    <row r="824" spans="1:7" x14ac:dyDescent="0.15">
      <c r="A824" s="19">
        <v>5</v>
      </c>
      <c r="B824" s="14" t="s">
        <v>9</v>
      </c>
      <c r="C824" s="14" t="s">
        <v>10</v>
      </c>
      <c r="D824" s="14" t="s">
        <v>1948</v>
      </c>
      <c r="E824" s="14" t="s">
        <v>1949</v>
      </c>
      <c r="F824" s="15" t="str">
        <f>CONCATENATE(Tabla1[[#This Row],[NOMBRE_MPIO]]," (",Tabla1[[#This Row],[NOMBRE_DEPTO]],")")</f>
        <v>SAN CARLOS (ANTIOQUIA)</v>
      </c>
      <c r="G824" s="19" t="s">
        <v>1949</v>
      </c>
    </row>
    <row r="825" spans="1:7" x14ac:dyDescent="0.15">
      <c r="A825" s="19">
        <v>23</v>
      </c>
      <c r="B825" s="14" t="s">
        <v>276</v>
      </c>
      <c r="D825" s="14" t="s">
        <v>1948</v>
      </c>
      <c r="E825" s="14" t="s">
        <v>1950</v>
      </c>
      <c r="F825" s="15" t="str">
        <f>CONCATENATE(Tabla1[[#This Row],[NOMBRE_MPIO]]," (",Tabla1[[#This Row],[NOMBRE_DEPTO]],")")</f>
        <v>SAN CARLOS (CORDOBA)</v>
      </c>
      <c r="G825" s="19" t="s">
        <v>1950</v>
      </c>
    </row>
    <row r="826" spans="1:7" x14ac:dyDescent="0.15">
      <c r="A826" s="19">
        <v>50</v>
      </c>
      <c r="B826" s="14" t="s">
        <v>22</v>
      </c>
      <c r="D826" s="14" t="s">
        <v>1951</v>
      </c>
      <c r="E826" s="14" t="s">
        <v>1952</v>
      </c>
      <c r="F826" s="15" t="str">
        <f>CONCATENATE(Tabla1[[#This Row],[NOMBRE_MPIO]]," (",Tabla1[[#This Row],[NOMBRE_DEPTO]],")")</f>
        <v>SAN CARLOS GUAROA (META)</v>
      </c>
      <c r="G826" s="19" t="s">
        <v>1952</v>
      </c>
    </row>
    <row r="827" spans="1:7" x14ac:dyDescent="0.15">
      <c r="A827" s="19">
        <v>25</v>
      </c>
      <c r="B827" s="14" t="s">
        <v>46</v>
      </c>
      <c r="D827" s="14" t="s">
        <v>1953</v>
      </c>
      <c r="E827" s="14" t="s">
        <v>1954</v>
      </c>
      <c r="F827" s="15" t="str">
        <f>CONCATENATE(Tabla1[[#This Row],[NOMBRE_MPIO]]," (",Tabla1[[#This Row],[NOMBRE_DEPTO]],")")</f>
        <v>SAN CAYETANO (CUNDINAMARCA)</v>
      </c>
      <c r="G827" s="19" t="s">
        <v>1954</v>
      </c>
    </row>
    <row r="828" spans="1:7" x14ac:dyDescent="0.15">
      <c r="A828" s="19">
        <v>54</v>
      </c>
      <c r="B828" s="14" t="s">
        <v>14</v>
      </c>
      <c r="D828" s="14" t="s">
        <v>1953</v>
      </c>
      <c r="E828" s="14" t="s">
        <v>1955</v>
      </c>
      <c r="F828" s="15" t="str">
        <f>CONCATENATE(Tabla1[[#This Row],[NOMBRE_MPIO]]," (",Tabla1[[#This Row],[NOMBRE_DEPTO]],")")</f>
        <v>SAN CAYETANO (NORTE DE SANTANDER)</v>
      </c>
      <c r="G828" s="19" t="s">
        <v>1955</v>
      </c>
    </row>
    <row r="829" spans="1:7" x14ac:dyDescent="0.15">
      <c r="A829" s="19">
        <v>13</v>
      </c>
      <c r="B829" s="14" t="s">
        <v>37</v>
      </c>
      <c r="C829" s="14" t="s">
        <v>250</v>
      </c>
      <c r="D829" s="14" t="s">
        <v>1956</v>
      </c>
      <c r="E829" s="14" t="s">
        <v>1957</v>
      </c>
      <c r="F829" s="15" t="str">
        <f>CONCATENATE(Tabla1[[#This Row],[NOMBRE_MPIO]]," (",Tabla1[[#This Row],[NOMBRE_DEPTO]],")")</f>
        <v>SAN CRISTOBAL (BOLIVAR)</v>
      </c>
      <c r="G829" s="19" t="s">
        <v>1957</v>
      </c>
    </row>
    <row r="830" spans="1:7" x14ac:dyDescent="0.15">
      <c r="A830" s="19">
        <v>20</v>
      </c>
      <c r="B830" s="14" t="s">
        <v>51</v>
      </c>
      <c r="C830" s="14" t="s">
        <v>62</v>
      </c>
      <c r="D830" s="14" t="s">
        <v>1958</v>
      </c>
      <c r="E830" s="14" t="s">
        <v>1959</v>
      </c>
      <c r="F830" s="15" t="str">
        <f>CONCATENATE(Tabla1[[#This Row],[NOMBRE_MPIO]]," (",Tabla1[[#This Row],[NOMBRE_DEPTO]],")")</f>
        <v>SAN DIEGO (CESAR)</v>
      </c>
      <c r="G830" s="19" t="s">
        <v>1959</v>
      </c>
    </row>
    <row r="831" spans="1:7" x14ac:dyDescent="0.15">
      <c r="A831" s="19">
        <v>15</v>
      </c>
      <c r="B831" s="14" t="s">
        <v>113</v>
      </c>
      <c r="C831" s="14" t="s">
        <v>370</v>
      </c>
      <c r="D831" s="14" t="s">
        <v>1960</v>
      </c>
      <c r="E831" s="14" t="s">
        <v>1961</v>
      </c>
      <c r="F831" s="15" t="str">
        <f>CONCATENATE(Tabla1[[#This Row],[NOMBRE_MPIO]]," (",Tabla1[[#This Row],[NOMBRE_DEPTO]],")")</f>
        <v>SAN EDUARDO (BOYACÁ)</v>
      </c>
      <c r="G831" s="19" t="s">
        <v>1961</v>
      </c>
    </row>
    <row r="832" spans="1:7" x14ac:dyDescent="0.15">
      <c r="A832" s="19">
        <v>13</v>
      </c>
      <c r="B832" s="14" t="s">
        <v>37</v>
      </c>
      <c r="C832" s="14" t="s">
        <v>250</v>
      </c>
      <c r="D832" s="14" t="s">
        <v>1962</v>
      </c>
      <c r="E832" s="14" t="s">
        <v>1963</v>
      </c>
      <c r="F832" s="15" t="str">
        <f>CONCATENATE(Tabla1[[#This Row],[NOMBRE_MPIO]]," (",Tabla1[[#This Row],[NOMBRE_DEPTO]],")")</f>
        <v>SAN ESTANISLAO (BOLIVAR)</v>
      </c>
      <c r="G832" s="19" t="s">
        <v>1963</v>
      </c>
    </row>
    <row r="833" spans="1:7" x14ac:dyDescent="0.15">
      <c r="A833" s="19">
        <v>94</v>
      </c>
      <c r="B833" s="14" t="s">
        <v>330</v>
      </c>
      <c r="D833" s="14" t="s">
        <v>1964</v>
      </c>
      <c r="E833" s="14" t="s">
        <v>1965</v>
      </c>
      <c r="F833" s="15" t="str">
        <f>CONCATENATE(Tabla1[[#This Row],[NOMBRE_MPIO]]," (",Tabla1[[#This Row],[NOMBRE_DEPTO]],")")</f>
        <v>SAN FELIPE (GUAINIA)</v>
      </c>
      <c r="G833" s="19" t="s">
        <v>1965</v>
      </c>
    </row>
    <row r="834" spans="1:7" x14ac:dyDescent="0.15">
      <c r="A834" s="19">
        <v>13</v>
      </c>
      <c r="B834" s="14" t="s">
        <v>37</v>
      </c>
      <c r="C834" s="14" t="s">
        <v>751</v>
      </c>
      <c r="D834" s="14" t="s">
        <v>1966</v>
      </c>
      <c r="E834" s="14" t="s">
        <v>1967</v>
      </c>
      <c r="F834" s="15" t="str">
        <f>CONCATENATE(Tabla1[[#This Row],[NOMBRE_MPIO]]," (",Tabla1[[#This Row],[NOMBRE_DEPTO]],")")</f>
        <v>SAN FERNANDO (BOLIVAR)</v>
      </c>
      <c r="G834" s="19" t="s">
        <v>1967</v>
      </c>
    </row>
    <row r="835" spans="1:7" x14ac:dyDescent="0.15">
      <c r="A835" s="19">
        <v>5</v>
      </c>
      <c r="B835" s="14" t="s">
        <v>9</v>
      </c>
      <c r="C835" s="14" t="s">
        <v>10</v>
      </c>
      <c r="D835" s="14" t="s">
        <v>1968</v>
      </c>
      <c r="E835" s="14" t="s">
        <v>1969</v>
      </c>
      <c r="F835" s="15" t="str">
        <f>CONCATENATE(Tabla1[[#This Row],[NOMBRE_MPIO]]," (",Tabla1[[#This Row],[NOMBRE_DEPTO]],")")</f>
        <v>SAN FRANCISCO (ANTIOQUIA)</v>
      </c>
      <c r="G835" s="19" t="s">
        <v>1969</v>
      </c>
    </row>
    <row r="836" spans="1:7" x14ac:dyDescent="0.15">
      <c r="A836" s="19">
        <v>25</v>
      </c>
      <c r="B836" s="14" t="s">
        <v>46</v>
      </c>
      <c r="D836" s="14" t="s">
        <v>1968</v>
      </c>
      <c r="E836" s="14" t="s">
        <v>1970</v>
      </c>
      <c r="F836" s="15" t="str">
        <f>CONCATENATE(Tabla1[[#This Row],[NOMBRE_MPIO]]," (",Tabla1[[#This Row],[NOMBRE_DEPTO]],")")</f>
        <v>SAN FRANCISCO (CUNDINAMARCA)</v>
      </c>
      <c r="G836" s="19" t="s">
        <v>1970</v>
      </c>
    </row>
    <row r="837" spans="1:7" x14ac:dyDescent="0.15">
      <c r="A837" s="19">
        <v>86</v>
      </c>
      <c r="B837" s="14" t="s">
        <v>793</v>
      </c>
      <c r="D837" s="14" t="s">
        <v>1968</v>
      </c>
      <c r="E837" s="14" t="s">
        <v>1971</v>
      </c>
      <c r="F837" s="15" t="str">
        <f>CONCATENATE(Tabla1[[#This Row],[NOMBRE_MPIO]]," (",Tabla1[[#This Row],[NOMBRE_DEPTO]],")")</f>
        <v>SAN FRANCISCO (PUTUMAYO)</v>
      </c>
      <c r="G837" s="19" t="s">
        <v>1971</v>
      </c>
    </row>
    <row r="838" spans="1:7" x14ac:dyDescent="0.15">
      <c r="A838" s="19">
        <v>68</v>
      </c>
      <c r="B838" s="14" t="s">
        <v>56</v>
      </c>
      <c r="D838" s="14" t="s">
        <v>1972</v>
      </c>
      <c r="E838" s="14" t="s">
        <v>1973</v>
      </c>
      <c r="F838" s="15" t="str">
        <f>CONCATENATE(Tabla1[[#This Row],[NOMBRE_MPIO]]," (",Tabla1[[#This Row],[NOMBRE_DEPTO]],")")</f>
        <v>SAN GIL (SANTANDER)</v>
      </c>
      <c r="G838" s="19" t="s">
        <v>1973</v>
      </c>
    </row>
    <row r="839" spans="1:7" x14ac:dyDescent="0.15">
      <c r="A839" s="19">
        <v>13</v>
      </c>
      <c r="B839" s="14" t="s">
        <v>37</v>
      </c>
      <c r="C839" s="14" t="s">
        <v>596</v>
      </c>
      <c r="D839" s="14" t="s">
        <v>1974</v>
      </c>
      <c r="E839" s="14" t="s">
        <v>1975</v>
      </c>
      <c r="F839" s="15" t="str">
        <f>CONCATENATE(Tabla1[[#This Row],[NOMBRE_MPIO]]," (",Tabla1[[#This Row],[NOMBRE_DEPTO]],")")</f>
        <v>SAN JACINTO (BOLIVAR)</v>
      </c>
      <c r="G839" s="19" t="s">
        <v>1975</v>
      </c>
    </row>
    <row r="840" spans="1:7" x14ac:dyDescent="0.15">
      <c r="A840" s="19">
        <v>13</v>
      </c>
      <c r="B840" s="14" t="s">
        <v>37</v>
      </c>
      <c r="C840" s="14" t="s">
        <v>38</v>
      </c>
      <c r="D840" s="14" t="s">
        <v>1976</v>
      </c>
      <c r="E840" s="14" t="s">
        <v>1977</v>
      </c>
      <c r="F840" s="15" t="str">
        <f>CONCATENATE(Tabla1[[#This Row],[NOMBRE_MPIO]]," (",Tabla1[[#This Row],[NOMBRE_DEPTO]],")")</f>
        <v>SAN JACINTO DEL CAUCA (BOLIVAR)</v>
      </c>
      <c r="G840" s="19" t="s">
        <v>1977</v>
      </c>
    </row>
    <row r="841" spans="1:7" x14ac:dyDescent="0.15">
      <c r="A841" s="19">
        <v>5</v>
      </c>
      <c r="B841" s="14" t="s">
        <v>9</v>
      </c>
      <c r="C841" s="14" t="s">
        <v>15</v>
      </c>
      <c r="D841" s="14" t="s">
        <v>1978</v>
      </c>
      <c r="E841" s="14" t="s">
        <v>1979</v>
      </c>
      <c r="F841" s="15" t="str">
        <f>CONCATENATE(Tabla1[[#This Row],[NOMBRE_MPIO]]," (",Tabla1[[#This Row],[NOMBRE_DEPTO]],")")</f>
        <v>SAN JERÓNIMO (ANTIOQUIA)</v>
      </c>
      <c r="G841" s="19" t="s">
        <v>1979</v>
      </c>
    </row>
    <row r="842" spans="1:7" x14ac:dyDescent="0.15">
      <c r="A842" s="19">
        <v>68</v>
      </c>
      <c r="B842" s="14" t="s">
        <v>56</v>
      </c>
      <c r="D842" s="14" t="s">
        <v>1980</v>
      </c>
      <c r="E842" s="14" t="s">
        <v>1981</v>
      </c>
      <c r="F842" s="15" t="str">
        <f>CONCATENATE(Tabla1[[#This Row],[NOMBRE_MPIO]]," (",Tabla1[[#This Row],[NOMBRE_DEPTO]],")")</f>
        <v>SAN JOAQUÍN (SANTANDER)</v>
      </c>
      <c r="G842" s="19" t="s">
        <v>1981</v>
      </c>
    </row>
    <row r="843" spans="1:7" x14ac:dyDescent="0.15">
      <c r="A843" s="19">
        <v>17</v>
      </c>
      <c r="B843" s="14" t="s">
        <v>61</v>
      </c>
      <c r="C843" s="14" t="s">
        <v>174</v>
      </c>
      <c r="D843" s="14" t="s">
        <v>1982</v>
      </c>
      <c r="E843" s="14" t="s">
        <v>1983</v>
      </c>
      <c r="F843" s="15" t="str">
        <f>CONCATENATE(Tabla1[[#This Row],[NOMBRE_MPIO]]," (",Tabla1[[#This Row],[NOMBRE_DEPTO]],")")</f>
        <v>SAN JOSÉ (CALDAS)</v>
      </c>
      <c r="G843" s="19" t="s">
        <v>1983</v>
      </c>
    </row>
    <row r="844" spans="1:7" x14ac:dyDescent="0.15">
      <c r="A844" s="19">
        <v>5</v>
      </c>
      <c r="B844" s="14" t="s">
        <v>9</v>
      </c>
      <c r="C844" s="14" t="s">
        <v>62</v>
      </c>
      <c r="D844" s="14" t="s">
        <v>1984</v>
      </c>
      <c r="E844" s="14" t="s">
        <v>1985</v>
      </c>
      <c r="F844" s="15" t="str">
        <f>CONCATENATE(Tabla1[[#This Row],[NOMBRE_MPIO]]," (",Tabla1[[#This Row],[NOMBRE_DEPTO]],")")</f>
        <v>SAN JOSÉ DE LA MONTAÑA (ANTIOQUIA)</v>
      </c>
      <c r="G844" s="19" t="s">
        <v>1985</v>
      </c>
    </row>
    <row r="845" spans="1:7" x14ac:dyDescent="0.15">
      <c r="A845" s="19">
        <v>68</v>
      </c>
      <c r="B845" s="14" t="s">
        <v>56</v>
      </c>
      <c r="D845" s="14" t="s">
        <v>1986</v>
      </c>
      <c r="E845" s="14" t="s">
        <v>1987</v>
      </c>
      <c r="F845" s="15" t="str">
        <f>CONCATENATE(Tabla1[[#This Row],[NOMBRE_MPIO]]," (",Tabla1[[#This Row],[NOMBRE_DEPTO]],")")</f>
        <v>SAN JOSÉ DE MIRANDA (SANTANDER)</v>
      </c>
      <c r="G845" s="19" t="s">
        <v>1987</v>
      </c>
    </row>
    <row r="846" spans="1:7" x14ac:dyDescent="0.15">
      <c r="A846" s="19">
        <v>15</v>
      </c>
      <c r="B846" s="14" t="s">
        <v>113</v>
      </c>
      <c r="C846" s="14" t="s">
        <v>232</v>
      </c>
      <c r="D846" s="14" t="s">
        <v>1988</v>
      </c>
      <c r="E846" s="14" t="s">
        <v>1989</v>
      </c>
      <c r="F846" s="15" t="str">
        <f>CONCATENATE(Tabla1[[#This Row],[NOMBRE_MPIO]]," (",Tabla1[[#This Row],[NOMBRE_DEPTO]],")")</f>
        <v>SAN JOSÉ DE PARE (BOYACÁ)</v>
      </c>
      <c r="G846" s="19" t="s">
        <v>1989</v>
      </c>
    </row>
    <row r="847" spans="1:7" x14ac:dyDescent="0.15">
      <c r="A847" s="19">
        <v>18</v>
      </c>
      <c r="B847" s="14" t="s">
        <v>84</v>
      </c>
      <c r="C847" s="14" t="s">
        <v>84</v>
      </c>
      <c r="D847" s="14" t="s">
        <v>1990</v>
      </c>
      <c r="E847" s="14" t="s">
        <v>1991</v>
      </c>
      <c r="F847" s="15" t="str">
        <f>CONCATENATE(Tabla1[[#This Row],[NOMBRE_MPIO]]," (",Tabla1[[#This Row],[NOMBRE_DEPTO]],")")</f>
        <v>SAN JOSE DEL FRAGUA (CAQUETA)</v>
      </c>
      <c r="G847" s="19" t="s">
        <v>1991</v>
      </c>
    </row>
    <row r="848" spans="1:7" x14ac:dyDescent="0.15">
      <c r="A848" s="19">
        <v>95</v>
      </c>
      <c r="B848" s="14" t="s">
        <v>513</v>
      </c>
      <c r="D848" s="14" t="s">
        <v>1992</v>
      </c>
      <c r="E848" s="14" t="s">
        <v>1993</v>
      </c>
      <c r="F848" s="15" t="str">
        <f>CONCATENATE(Tabla1[[#This Row],[NOMBRE_MPIO]]," (",Tabla1[[#This Row],[NOMBRE_DEPTO]],")")</f>
        <v>SAN JOSÉ DEL GUAVIARE (GUAVIARE)</v>
      </c>
      <c r="G848" s="19" t="s">
        <v>1993</v>
      </c>
    </row>
    <row r="849" spans="1:7" x14ac:dyDescent="0.15">
      <c r="A849" s="19">
        <v>27</v>
      </c>
      <c r="B849" s="14" t="s">
        <v>27</v>
      </c>
      <c r="D849" s="14" t="s">
        <v>1994</v>
      </c>
      <c r="E849" s="14" t="s">
        <v>1995</v>
      </c>
      <c r="F849" s="15" t="str">
        <f>CONCATENATE(Tabla1[[#This Row],[NOMBRE_MPIO]]," (",Tabla1[[#This Row],[NOMBRE_DEPTO]],")")</f>
        <v>SAN JOSÉ DEL PALMAR (CHOCO)</v>
      </c>
      <c r="G849" s="19" t="s">
        <v>1995</v>
      </c>
    </row>
    <row r="850" spans="1:7" x14ac:dyDescent="0.15">
      <c r="A850" s="19">
        <v>70</v>
      </c>
      <c r="B850" s="14" t="s">
        <v>443</v>
      </c>
      <c r="D850" s="14" t="s">
        <v>1996</v>
      </c>
      <c r="E850" s="14" t="s">
        <v>1997</v>
      </c>
      <c r="F850" s="15" t="str">
        <f>CONCATENATE(Tabla1[[#This Row],[NOMBRE_MPIO]]," (",Tabla1[[#This Row],[NOMBRE_DEPTO]],")")</f>
        <v>SAN JUAN BETULIA (SUCRE)</v>
      </c>
      <c r="G850" s="19" t="s">
        <v>1997</v>
      </c>
    </row>
    <row r="851" spans="1:7" x14ac:dyDescent="0.15">
      <c r="A851" s="19">
        <v>50</v>
      </c>
      <c r="B851" s="14" t="s">
        <v>22</v>
      </c>
      <c r="D851" s="14" t="s">
        <v>1998</v>
      </c>
      <c r="E851" s="14" t="s">
        <v>1999</v>
      </c>
      <c r="F851" s="15" t="str">
        <f>CONCATENATE(Tabla1[[#This Row],[NOMBRE_MPIO]]," (",Tabla1[[#This Row],[NOMBRE_DEPTO]],")")</f>
        <v>SAN JUAN DE ARAMA (META)</v>
      </c>
      <c r="G851" s="19" t="s">
        <v>1999</v>
      </c>
    </row>
    <row r="852" spans="1:7" x14ac:dyDescent="0.15">
      <c r="A852" s="19">
        <v>25</v>
      </c>
      <c r="B852" s="14" t="s">
        <v>46</v>
      </c>
      <c r="D852" s="14" t="s">
        <v>2000</v>
      </c>
      <c r="E852" s="14" t="s">
        <v>2001</v>
      </c>
      <c r="F852" s="15" t="str">
        <f>CONCATENATE(Tabla1[[#This Row],[NOMBRE_MPIO]]," (",Tabla1[[#This Row],[NOMBRE_DEPTO]],")")</f>
        <v>SAN JUAN DE RÍO SECO (CUNDINAMARCA)</v>
      </c>
      <c r="G852" s="19" t="s">
        <v>2001</v>
      </c>
    </row>
    <row r="853" spans="1:7" x14ac:dyDescent="0.15">
      <c r="A853" s="19">
        <v>5</v>
      </c>
      <c r="B853" s="14" t="s">
        <v>9</v>
      </c>
      <c r="C853" s="14" t="s">
        <v>187</v>
      </c>
      <c r="D853" s="14" t="s">
        <v>2002</v>
      </c>
      <c r="E853" s="14" t="s">
        <v>2003</v>
      </c>
      <c r="F853" s="15" t="str">
        <f>CONCATENATE(Tabla1[[#This Row],[NOMBRE_MPIO]]," (",Tabla1[[#This Row],[NOMBRE_DEPTO]],")")</f>
        <v>SAN JUAN DE URABA (ANTIOQUIA)</v>
      </c>
      <c r="G853" s="19" t="s">
        <v>2003</v>
      </c>
    </row>
    <row r="854" spans="1:7" x14ac:dyDescent="0.15">
      <c r="A854" s="19">
        <v>44</v>
      </c>
      <c r="B854" s="14" t="s">
        <v>87</v>
      </c>
      <c r="D854" s="14" t="s">
        <v>2004</v>
      </c>
      <c r="E854" s="14" t="s">
        <v>2005</v>
      </c>
      <c r="F854" s="15" t="str">
        <f>CONCATENATE(Tabla1[[#This Row],[NOMBRE_MPIO]]," (",Tabla1[[#This Row],[NOMBRE_DEPTO]],")")</f>
        <v>SAN JUAN DEL CESAR (LA GUAJIRA)</v>
      </c>
      <c r="G854" s="19" t="s">
        <v>2005</v>
      </c>
    </row>
    <row r="855" spans="1:7" x14ac:dyDescent="0.15">
      <c r="A855" s="19">
        <v>13</v>
      </c>
      <c r="B855" s="14" t="s">
        <v>37</v>
      </c>
      <c r="C855" s="14" t="s">
        <v>596</v>
      </c>
      <c r="D855" s="14" t="s">
        <v>2006</v>
      </c>
      <c r="E855" s="14" t="s">
        <v>2007</v>
      </c>
      <c r="F855" s="15" t="str">
        <f>CONCATENATE(Tabla1[[#This Row],[NOMBRE_MPIO]]," (",Tabla1[[#This Row],[NOMBRE_DEPTO]],")")</f>
        <v>SAN JUAN NEPOMUCENO (BOLIVAR)</v>
      </c>
      <c r="G855" s="19" t="s">
        <v>2007</v>
      </c>
    </row>
    <row r="856" spans="1:7" x14ac:dyDescent="0.15">
      <c r="A856" s="19">
        <v>50</v>
      </c>
      <c r="B856" s="14" t="s">
        <v>22</v>
      </c>
      <c r="D856" s="14" t="s">
        <v>2008</v>
      </c>
      <c r="E856" s="14" t="s">
        <v>2009</v>
      </c>
      <c r="F856" s="15" t="str">
        <f>CONCATENATE(Tabla1[[#This Row],[NOMBRE_MPIO]]," (",Tabla1[[#This Row],[NOMBRE_DEPTO]],")")</f>
        <v>SAN JUANITO (META)</v>
      </c>
      <c r="G856" s="19" t="s">
        <v>2009</v>
      </c>
    </row>
    <row r="857" spans="1:7" x14ac:dyDescent="0.15">
      <c r="A857" s="19">
        <v>52</v>
      </c>
      <c r="B857" s="14" t="s">
        <v>80</v>
      </c>
      <c r="D857" s="14" t="s">
        <v>2010</v>
      </c>
      <c r="E857" s="14" t="s">
        <v>2011</v>
      </c>
      <c r="F857" s="15" t="str">
        <f>CONCATENATE(Tabla1[[#This Row],[NOMBRE_MPIO]]," (",Tabla1[[#This Row],[NOMBRE_DEPTO]],")")</f>
        <v>SAN LORENZO (NARIÑO)</v>
      </c>
      <c r="G857" s="19" t="s">
        <v>2011</v>
      </c>
    </row>
    <row r="858" spans="1:7" x14ac:dyDescent="0.15">
      <c r="A858" s="19">
        <v>5</v>
      </c>
      <c r="B858" s="14" t="s">
        <v>9</v>
      </c>
      <c r="C858" s="14" t="s">
        <v>10</v>
      </c>
      <c r="D858" s="14" t="s">
        <v>2012</v>
      </c>
      <c r="E858" s="14" t="s">
        <v>2013</v>
      </c>
      <c r="F858" s="15" t="str">
        <f>CONCATENATE(Tabla1[[#This Row],[NOMBRE_MPIO]]," (",Tabla1[[#This Row],[NOMBRE_DEPTO]],")")</f>
        <v>SAN LUIS (ANTIOQUIA)</v>
      </c>
      <c r="G858" s="19" t="s">
        <v>2013</v>
      </c>
    </row>
    <row r="859" spans="1:7" x14ac:dyDescent="0.15">
      <c r="A859" s="19">
        <v>73</v>
      </c>
      <c r="B859" s="14" t="s">
        <v>117</v>
      </c>
      <c r="D859" s="14" t="s">
        <v>2012</v>
      </c>
      <c r="E859" s="14" t="s">
        <v>2014</v>
      </c>
      <c r="F859" s="15" t="str">
        <f>CONCATENATE(Tabla1[[#This Row],[NOMBRE_MPIO]]," (",Tabla1[[#This Row],[NOMBRE_DEPTO]],")")</f>
        <v>SAN LUIS (TOLIMA)</v>
      </c>
      <c r="G859" s="19" t="s">
        <v>2014</v>
      </c>
    </row>
    <row r="860" spans="1:7" x14ac:dyDescent="0.15">
      <c r="A860" s="19">
        <v>50</v>
      </c>
      <c r="B860" s="14" t="s">
        <v>22</v>
      </c>
      <c r="D860" s="14" t="s">
        <v>2015</v>
      </c>
      <c r="E860" s="14" t="s">
        <v>2016</v>
      </c>
      <c r="F860" s="15" t="str">
        <f>CONCATENATE(Tabla1[[#This Row],[NOMBRE_MPIO]]," (",Tabla1[[#This Row],[NOMBRE_DEPTO]],")")</f>
        <v>SAN LUIS DE CUBARRAL (META)</v>
      </c>
      <c r="G860" s="19" t="s">
        <v>2016</v>
      </c>
    </row>
    <row r="861" spans="1:7" x14ac:dyDescent="0.15">
      <c r="A861" s="19">
        <v>15</v>
      </c>
      <c r="B861" s="14" t="s">
        <v>113</v>
      </c>
      <c r="C861" s="14" t="s">
        <v>700</v>
      </c>
      <c r="D861" s="14" t="s">
        <v>2017</v>
      </c>
      <c r="E861" s="14" t="s">
        <v>2018</v>
      </c>
      <c r="F861" s="15" t="str">
        <f>CONCATENATE(Tabla1[[#This Row],[NOMBRE_MPIO]]," (",Tabla1[[#This Row],[NOMBRE_DEPTO]],")")</f>
        <v>SAN LUIS DE GACENO (BOYACÁ)</v>
      </c>
      <c r="G861" s="19" t="s">
        <v>2018</v>
      </c>
    </row>
    <row r="862" spans="1:7" x14ac:dyDescent="0.15">
      <c r="A862" s="19">
        <v>85</v>
      </c>
      <c r="B862" s="14" t="s">
        <v>66</v>
      </c>
      <c r="C862" s="14" t="s">
        <v>66</v>
      </c>
      <c r="D862" s="14" t="s">
        <v>2019</v>
      </c>
      <c r="E862" s="14" t="s">
        <v>2020</v>
      </c>
      <c r="F862" s="15" t="str">
        <f>CONCATENATE(Tabla1[[#This Row],[NOMBRE_MPIO]]," (",Tabla1[[#This Row],[NOMBRE_DEPTO]],")")</f>
        <v>SAN LUIS DE PALENQUE (CASANARE)</v>
      </c>
      <c r="G862" s="19" t="s">
        <v>2020</v>
      </c>
    </row>
    <row r="863" spans="1:7" x14ac:dyDescent="0.15">
      <c r="A863" s="19">
        <v>70</v>
      </c>
      <c r="B863" s="14" t="s">
        <v>443</v>
      </c>
      <c r="D863" s="14" t="s">
        <v>2021</v>
      </c>
      <c r="E863" s="14" t="s">
        <v>2022</v>
      </c>
      <c r="F863" s="15" t="str">
        <f>CONCATENATE(Tabla1[[#This Row],[NOMBRE_MPIO]]," (",Tabla1[[#This Row],[NOMBRE_DEPTO]],")")</f>
        <v>SAN MARCOS (SUCRE)</v>
      </c>
      <c r="G863" s="19" t="s">
        <v>2022</v>
      </c>
    </row>
    <row r="864" spans="1:7" x14ac:dyDescent="0.15">
      <c r="A864" s="19">
        <v>20</v>
      </c>
      <c r="B864" s="14" t="s">
        <v>51</v>
      </c>
      <c r="C864" s="14" t="s">
        <v>52</v>
      </c>
      <c r="D864" s="14" t="s">
        <v>2023</v>
      </c>
      <c r="E864" s="14" t="s">
        <v>2024</v>
      </c>
      <c r="F864" s="15" t="str">
        <f>CONCATENATE(Tabla1[[#This Row],[NOMBRE_MPIO]]," (",Tabla1[[#This Row],[NOMBRE_DEPTO]],")")</f>
        <v>SAN MARTÍN (CESAR)</v>
      </c>
      <c r="G864" s="19" t="s">
        <v>2024</v>
      </c>
    </row>
    <row r="865" spans="1:7" x14ac:dyDescent="0.15">
      <c r="A865" s="19">
        <v>50</v>
      </c>
      <c r="B865" s="14" t="s">
        <v>22</v>
      </c>
      <c r="D865" s="14" t="s">
        <v>2023</v>
      </c>
      <c r="E865" s="14" t="s">
        <v>2025</v>
      </c>
      <c r="F865" s="15" t="str">
        <f>CONCATENATE(Tabla1[[#This Row],[NOMBRE_MPIO]]," (",Tabla1[[#This Row],[NOMBRE_DEPTO]],")")</f>
        <v>SAN MARTÍN (META)</v>
      </c>
      <c r="G865" s="19" t="s">
        <v>2025</v>
      </c>
    </row>
    <row r="866" spans="1:7" x14ac:dyDescent="0.15">
      <c r="A866" s="19">
        <v>13</v>
      </c>
      <c r="B866" s="14" t="s">
        <v>37</v>
      </c>
      <c r="C866" s="14" t="s">
        <v>129</v>
      </c>
      <c r="D866" s="14" t="s">
        <v>2026</v>
      </c>
      <c r="E866" s="14" t="s">
        <v>2027</v>
      </c>
      <c r="F866" s="15" t="str">
        <f>CONCATENATE(Tabla1[[#This Row],[NOMBRE_MPIO]]," (",Tabla1[[#This Row],[NOMBRE_DEPTO]],")")</f>
        <v>SAN MARTIN DE LOBA (BOLIVAR)</v>
      </c>
      <c r="G866" s="19" t="s">
        <v>2027</v>
      </c>
    </row>
    <row r="867" spans="1:7" x14ac:dyDescent="0.15">
      <c r="A867" s="19">
        <v>15</v>
      </c>
      <c r="B867" s="14" t="s">
        <v>113</v>
      </c>
      <c r="C867" s="14" t="s">
        <v>62</v>
      </c>
      <c r="D867" s="14" t="s">
        <v>2028</v>
      </c>
      <c r="E867" s="14" t="s">
        <v>2029</v>
      </c>
      <c r="F867" s="15" t="str">
        <f>CONCATENATE(Tabla1[[#This Row],[NOMBRE_MPIO]]," (",Tabla1[[#This Row],[NOMBRE_DEPTO]],")")</f>
        <v>SAN MATEO (BOYACÁ)</v>
      </c>
      <c r="G867" s="19" t="s">
        <v>2029</v>
      </c>
    </row>
    <row r="868" spans="1:7" x14ac:dyDescent="0.15">
      <c r="A868" s="19">
        <v>86</v>
      </c>
      <c r="B868" s="14" t="s">
        <v>793</v>
      </c>
      <c r="D868" s="14" t="s">
        <v>2030</v>
      </c>
      <c r="E868" s="14" t="s">
        <v>2031</v>
      </c>
      <c r="F868" s="15" t="str">
        <f>CONCATENATE(Tabla1[[#This Row],[NOMBRE_MPIO]]," (",Tabla1[[#This Row],[NOMBRE_DEPTO]],")")</f>
        <v>SAN MIGUEL (PUTUMAYO)</v>
      </c>
      <c r="G868" s="19" t="s">
        <v>2031</v>
      </c>
    </row>
    <row r="869" spans="1:7" x14ac:dyDescent="0.15">
      <c r="A869" s="19">
        <v>68</v>
      </c>
      <c r="B869" s="14" t="s">
        <v>56</v>
      </c>
      <c r="D869" s="14" t="s">
        <v>2030</v>
      </c>
      <c r="E869" s="14" t="s">
        <v>2032</v>
      </c>
      <c r="F869" s="15" t="str">
        <f>CONCATENATE(Tabla1[[#This Row],[NOMBRE_MPIO]]," (",Tabla1[[#This Row],[NOMBRE_DEPTO]],")")</f>
        <v>SAN MIGUEL (SANTANDER)</v>
      </c>
      <c r="G869" s="19" t="s">
        <v>2032</v>
      </c>
    </row>
    <row r="870" spans="1:7" x14ac:dyDescent="0.15">
      <c r="A870" s="19">
        <v>15</v>
      </c>
      <c r="B870" s="14" t="s">
        <v>113</v>
      </c>
      <c r="C870" s="14" t="s">
        <v>15</v>
      </c>
      <c r="D870" s="14" t="s">
        <v>2033</v>
      </c>
      <c r="E870" s="14" t="s">
        <v>2034</v>
      </c>
      <c r="F870" s="15" t="str">
        <f>CONCATENATE(Tabla1[[#This Row],[NOMBRE_MPIO]]," (",Tabla1[[#This Row],[NOMBRE_DEPTO]],")")</f>
        <v>SAN MIGUEL DE SEMA (BOYACÁ)</v>
      </c>
      <c r="G870" s="19" t="s">
        <v>2034</v>
      </c>
    </row>
    <row r="871" spans="1:7" x14ac:dyDescent="0.15">
      <c r="A871" s="19">
        <v>70</v>
      </c>
      <c r="B871" s="14" t="s">
        <v>443</v>
      </c>
      <c r="D871" s="14" t="s">
        <v>2035</v>
      </c>
      <c r="E871" s="14" t="s">
        <v>2036</v>
      </c>
      <c r="F871" s="15" t="str">
        <f>CONCATENATE(Tabla1[[#This Row],[NOMBRE_MPIO]]," (",Tabla1[[#This Row],[NOMBRE_DEPTO]],")")</f>
        <v>SAN ONOFRE (SUCRE)</v>
      </c>
      <c r="G871" s="19" t="s">
        <v>2036</v>
      </c>
    </row>
    <row r="872" spans="1:7" x14ac:dyDescent="0.15">
      <c r="A872" s="19">
        <v>13</v>
      </c>
      <c r="B872" s="14" t="s">
        <v>37</v>
      </c>
      <c r="C872" s="14" t="s">
        <v>236</v>
      </c>
      <c r="D872" s="14" t="s">
        <v>2037</v>
      </c>
      <c r="E872" s="14" t="s">
        <v>2038</v>
      </c>
      <c r="F872" s="15" t="str">
        <f>CONCATENATE(Tabla1[[#This Row],[NOMBRE_MPIO]]," (",Tabla1[[#This Row],[NOMBRE_DEPTO]],")")</f>
        <v>SAN PABLO (BOLIVAR)</v>
      </c>
      <c r="G872" s="19" t="s">
        <v>2038</v>
      </c>
    </row>
    <row r="873" spans="1:7" x14ac:dyDescent="0.15">
      <c r="A873" s="19">
        <v>52</v>
      </c>
      <c r="B873" s="14" t="s">
        <v>80</v>
      </c>
      <c r="D873" s="14" t="s">
        <v>2037</v>
      </c>
      <c r="E873" s="14" t="s">
        <v>2039</v>
      </c>
      <c r="F873" s="15" t="str">
        <f>CONCATENATE(Tabla1[[#This Row],[NOMBRE_MPIO]]," (",Tabla1[[#This Row],[NOMBRE_DEPTO]],")")</f>
        <v>SAN PABLO (NARIÑO)</v>
      </c>
      <c r="G873" s="19" t="s">
        <v>2039</v>
      </c>
    </row>
    <row r="874" spans="1:7" x14ac:dyDescent="0.15">
      <c r="A874" s="19">
        <v>15</v>
      </c>
      <c r="B874" s="14" t="s">
        <v>113</v>
      </c>
      <c r="C874" s="14" t="s">
        <v>15</v>
      </c>
      <c r="D874" s="14" t="s">
        <v>2040</v>
      </c>
      <c r="E874" s="14" t="s">
        <v>2041</v>
      </c>
      <c r="F874" s="15" t="str">
        <f>CONCATENATE(Tabla1[[#This Row],[NOMBRE_MPIO]]," (",Tabla1[[#This Row],[NOMBRE_DEPTO]],")")</f>
        <v>SAN PABLO BORBUR (BOYACÁ)</v>
      </c>
      <c r="G874" s="19" t="s">
        <v>2041</v>
      </c>
    </row>
    <row r="875" spans="1:7" x14ac:dyDescent="0.15">
      <c r="A875" s="19">
        <v>5</v>
      </c>
      <c r="B875" s="14" t="s">
        <v>9</v>
      </c>
      <c r="C875" s="14" t="s">
        <v>62</v>
      </c>
      <c r="D875" s="14" t="s">
        <v>2042</v>
      </c>
      <c r="E875" s="14" t="s">
        <v>2043</v>
      </c>
      <c r="F875" s="15" t="str">
        <f>CONCATENATE(Tabla1[[#This Row],[NOMBRE_MPIO]]," (",Tabla1[[#This Row],[NOMBRE_DEPTO]],")")</f>
        <v>SAN PEDRO (ANTIOQUIA)</v>
      </c>
      <c r="G875" s="19" t="s">
        <v>2043</v>
      </c>
    </row>
    <row r="876" spans="1:7" x14ac:dyDescent="0.15">
      <c r="A876" s="19">
        <v>70</v>
      </c>
      <c r="B876" s="14" t="s">
        <v>443</v>
      </c>
      <c r="D876" s="14" t="s">
        <v>2042</v>
      </c>
      <c r="E876" s="14" t="s">
        <v>2044</v>
      </c>
      <c r="F876" s="15" t="str">
        <f>CONCATENATE(Tabla1[[#This Row],[NOMBRE_MPIO]]," (",Tabla1[[#This Row],[NOMBRE_DEPTO]],")")</f>
        <v>SAN PEDRO (SUCRE)</v>
      </c>
      <c r="G876" s="19" t="s">
        <v>2044</v>
      </c>
    </row>
    <row r="877" spans="1:7" x14ac:dyDescent="0.15">
      <c r="A877" s="19">
        <v>76</v>
      </c>
      <c r="B877" s="14" t="s">
        <v>92</v>
      </c>
      <c r="D877" s="14" t="s">
        <v>2042</v>
      </c>
      <c r="E877" s="14" t="s">
        <v>2045</v>
      </c>
      <c r="F877" s="15" t="str">
        <f>CONCATENATE(Tabla1[[#This Row],[NOMBRE_MPIO]]," (",Tabla1[[#This Row],[NOMBRE_DEPTO]],")")</f>
        <v>SAN PEDRO (VALLE DEL CAUCA)</v>
      </c>
      <c r="G877" s="19" t="s">
        <v>2045</v>
      </c>
    </row>
    <row r="878" spans="1:7" x14ac:dyDescent="0.15">
      <c r="A878" s="19">
        <v>52</v>
      </c>
      <c r="B878" s="14" t="s">
        <v>80</v>
      </c>
      <c r="D878" s="14" t="s">
        <v>2046</v>
      </c>
      <c r="E878" s="14" t="s">
        <v>2047</v>
      </c>
      <c r="F878" s="15" t="str">
        <f>CONCATENATE(Tabla1[[#This Row],[NOMBRE_MPIO]]," (",Tabla1[[#This Row],[NOMBRE_DEPTO]],")")</f>
        <v>SAN PEDRO DE CARTAGO (NARIÑO)</v>
      </c>
      <c r="G878" s="19" t="s">
        <v>2047</v>
      </c>
    </row>
    <row r="879" spans="1:7" x14ac:dyDescent="0.15">
      <c r="A879" s="19">
        <v>5</v>
      </c>
      <c r="B879" s="14" t="s">
        <v>9</v>
      </c>
      <c r="C879" s="14" t="s">
        <v>187</v>
      </c>
      <c r="D879" s="14" t="s">
        <v>2048</v>
      </c>
      <c r="E879" s="14" t="s">
        <v>2049</v>
      </c>
      <c r="F879" s="15" t="str">
        <f>CONCATENATE(Tabla1[[#This Row],[NOMBRE_MPIO]]," (",Tabla1[[#This Row],[NOMBRE_DEPTO]],")")</f>
        <v>SAN PEDRO DE URABA (ANTIOQUIA)</v>
      </c>
      <c r="G879" s="19" t="s">
        <v>2049</v>
      </c>
    </row>
    <row r="880" spans="1:7" x14ac:dyDescent="0.15">
      <c r="A880" s="19">
        <v>23</v>
      </c>
      <c r="B880" s="14" t="s">
        <v>276</v>
      </c>
      <c r="D880" s="14" t="s">
        <v>2050</v>
      </c>
      <c r="E880" s="14" t="s">
        <v>2051</v>
      </c>
      <c r="F880" s="15" t="str">
        <f>CONCATENATE(Tabla1[[#This Row],[NOMBRE_MPIO]]," (",Tabla1[[#This Row],[NOMBRE_DEPTO]],")")</f>
        <v>SAN PELAYO (CORDOBA)</v>
      </c>
      <c r="G880" s="19" t="s">
        <v>2051</v>
      </c>
    </row>
    <row r="881" spans="1:7" x14ac:dyDescent="0.15">
      <c r="A881" s="19">
        <v>5</v>
      </c>
      <c r="B881" s="14" t="s">
        <v>9</v>
      </c>
      <c r="C881" s="14" t="s">
        <v>10</v>
      </c>
      <c r="D881" s="14" t="s">
        <v>2052</v>
      </c>
      <c r="E881" s="14" t="s">
        <v>2053</v>
      </c>
      <c r="F881" s="15" t="str">
        <f>CONCATENATE(Tabla1[[#This Row],[NOMBRE_MPIO]]," (",Tabla1[[#This Row],[NOMBRE_DEPTO]],")")</f>
        <v>SAN RAFAEL (ANTIOQUIA)</v>
      </c>
      <c r="G881" s="19" t="s">
        <v>2053</v>
      </c>
    </row>
    <row r="882" spans="1:7" x14ac:dyDescent="0.15">
      <c r="A882" s="19">
        <v>5</v>
      </c>
      <c r="B882" s="14" t="s">
        <v>9</v>
      </c>
      <c r="C882" s="14" t="s">
        <v>141</v>
      </c>
      <c r="D882" s="14" t="s">
        <v>2054</v>
      </c>
      <c r="E882" s="14" t="s">
        <v>2055</v>
      </c>
      <c r="F882" s="15" t="str">
        <f>CONCATENATE(Tabla1[[#This Row],[NOMBRE_MPIO]]," (",Tabla1[[#This Row],[NOMBRE_DEPTO]],")")</f>
        <v>SAN ROQUE (ANTIOQUIA)</v>
      </c>
      <c r="G882" s="19" t="s">
        <v>2055</v>
      </c>
    </row>
    <row r="883" spans="1:7" x14ac:dyDescent="0.15">
      <c r="A883" s="19">
        <v>15</v>
      </c>
      <c r="B883" s="14" t="s">
        <v>113</v>
      </c>
      <c r="C883" s="14" t="s">
        <v>344</v>
      </c>
      <c r="D883" s="14" t="s">
        <v>2056</v>
      </c>
      <c r="E883" s="14" t="s">
        <v>2057</v>
      </c>
      <c r="F883" s="15" t="str">
        <f>CONCATENATE(Tabla1[[#This Row],[NOMBRE_MPIO]]," (",Tabla1[[#This Row],[NOMBRE_DEPTO]],")")</f>
        <v>SAN ROSA VITERBO (BOYACÁ)</v>
      </c>
      <c r="G883" s="19" t="s">
        <v>2057</v>
      </c>
    </row>
    <row r="884" spans="1:7" x14ac:dyDescent="0.15">
      <c r="A884" s="19">
        <v>19</v>
      </c>
      <c r="B884" s="14" t="s">
        <v>109</v>
      </c>
      <c r="C884" s="14" t="s">
        <v>52</v>
      </c>
      <c r="D884" s="14" t="s">
        <v>2058</v>
      </c>
      <c r="E884" s="14" t="s">
        <v>2059</v>
      </c>
      <c r="F884" s="15" t="str">
        <f>CONCATENATE(Tabla1[[#This Row],[NOMBRE_MPIO]]," (",Tabla1[[#This Row],[NOMBRE_DEPTO]],")")</f>
        <v>SAN SEBASTIAN (CAUCA)</v>
      </c>
      <c r="G884" s="19" t="s">
        <v>2059</v>
      </c>
    </row>
    <row r="885" spans="1:7" x14ac:dyDescent="0.15">
      <c r="A885" s="19">
        <v>47</v>
      </c>
      <c r="B885" s="14" t="s">
        <v>102</v>
      </c>
      <c r="D885" s="14" t="s">
        <v>2060</v>
      </c>
      <c r="E885" s="14" t="s">
        <v>2061</v>
      </c>
      <c r="F885" s="15" t="str">
        <f>CONCATENATE(Tabla1[[#This Row],[NOMBRE_MPIO]]," (",Tabla1[[#This Row],[NOMBRE_DEPTO]],")")</f>
        <v>SAN SEBASTIAN DE BUENAVISTA (MAGDALENA)</v>
      </c>
      <c r="G885" s="19" t="s">
        <v>2061</v>
      </c>
    </row>
    <row r="886" spans="1:7" x14ac:dyDescent="0.15">
      <c r="A886" s="19">
        <v>5</v>
      </c>
      <c r="B886" s="14" t="s">
        <v>9</v>
      </c>
      <c r="C886" s="14" t="s">
        <v>10</v>
      </c>
      <c r="D886" s="14" t="s">
        <v>2062</v>
      </c>
      <c r="E886" s="14" t="s">
        <v>2063</v>
      </c>
      <c r="F886" s="15" t="str">
        <f>CONCATENATE(Tabla1[[#This Row],[NOMBRE_MPIO]]," (",Tabla1[[#This Row],[NOMBRE_DEPTO]],")")</f>
        <v>SAN VICENTE (ANTIOQUIA)</v>
      </c>
      <c r="G886" s="19" t="s">
        <v>2063</v>
      </c>
    </row>
    <row r="887" spans="1:7" x14ac:dyDescent="0.15">
      <c r="A887" s="19">
        <v>68</v>
      </c>
      <c r="B887" s="14" t="s">
        <v>56</v>
      </c>
      <c r="D887" s="14" t="s">
        <v>2064</v>
      </c>
      <c r="E887" s="14" t="s">
        <v>2065</v>
      </c>
      <c r="F887" s="15" t="str">
        <f>CONCATENATE(Tabla1[[#This Row],[NOMBRE_MPIO]]," (",Tabla1[[#This Row],[NOMBRE_DEPTO]],")")</f>
        <v>SAN VICENTE DE CHUCURÍ (SANTANDER)</v>
      </c>
      <c r="G887" s="19" t="s">
        <v>2065</v>
      </c>
    </row>
    <row r="888" spans="1:7" x14ac:dyDescent="0.15">
      <c r="A888" s="19">
        <v>18</v>
      </c>
      <c r="B888" s="14" t="s">
        <v>84</v>
      </c>
      <c r="C888" s="14" t="s">
        <v>84</v>
      </c>
      <c r="D888" s="14" t="s">
        <v>2066</v>
      </c>
      <c r="E888" s="14" t="s">
        <v>2067</v>
      </c>
      <c r="F888" s="15" t="str">
        <f>CONCATENATE(Tabla1[[#This Row],[NOMBRE_MPIO]]," (",Tabla1[[#This Row],[NOMBRE_DEPTO]],")")</f>
        <v>SAN VICENTE DEL CAGUÁN (CAQUETA)</v>
      </c>
      <c r="G888" s="19" t="s">
        <v>2067</v>
      </c>
    </row>
    <row r="889" spans="1:7" x14ac:dyDescent="0.15">
      <c r="A889" s="19">
        <v>47</v>
      </c>
      <c r="B889" s="14" t="s">
        <v>102</v>
      </c>
      <c r="D889" s="14" t="s">
        <v>2068</v>
      </c>
      <c r="E889" s="14" t="s">
        <v>2069</v>
      </c>
      <c r="F889" s="15" t="str">
        <f>CONCATENATE(Tabla1[[#This Row],[NOMBRE_MPIO]]," (",Tabla1[[#This Row],[NOMBRE_DEPTO]],")")</f>
        <v>SAN ZENON (MAGDALENA)</v>
      </c>
      <c r="G889" s="19" t="s">
        <v>2069</v>
      </c>
    </row>
    <row r="890" spans="1:7" x14ac:dyDescent="0.15">
      <c r="A890" s="19">
        <v>52</v>
      </c>
      <c r="B890" s="14" t="s">
        <v>80</v>
      </c>
      <c r="D890" s="14" t="s">
        <v>2070</v>
      </c>
      <c r="E890" s="14" t="s">
        <v>2071</v>
      </c>
      <c r="F890" s="15" t="str">
        <f>CONCATENATE(Tabla1[[#This Row],[NOMBRE_MPIO]]," (",Tabla1[[#This Row],[NOMBRE_DEPTO]],")")</f>
        <v>SANDONÁ (NARIÑO)</v>
      </c>
      <c r="G890" s="19" t="s">
        <v>2071</v>
      </c>
    </row>
    <row r="891" spans="1:7" x14ac:dyDescent="0.15">
      <c r="A891" s="19">
        <v>47</v>
      </c>
      <c r="B891" s="14" t="s">
        <v>102</v>
      </c>
      <c r="D891" s="14" t="s">
        <v>2072</v>
      </c>
      <c r="E891" s="14" t="s">
        <v>2073</v>
      </c>
      <c r="F891" s="15" t="str">
        <f>CONCATENATE(Tabla1[[#This Row],[NOMBRE_MPIO]]," (",Tabla1[[#This Row],[NOMBRE_DEPTO]],")")</f>
        <v>SANTA ANA (MAGDALENA)</v>
      </c>
      <c r="G891" s="19" t="s">
        <v>2073</v>
      </c>
    </row>
    <row r="892" spans="1:7" x14ac:dyDescent="0.15">
      <c r="A892" s="19">
        <v>5</v>
      </c>
      <c r="B892" s="14" t="s">
        <v>9</v>
      </c>
      <c r="C892" s="14" t="s">
        <v>137</v>
      </c>
      <c r="D892" s="14" t="s">
        <v>2074</v>
      </c>
      <c r="E892" s="14" t="s">
        <v>2075</v>
      </c>
      <c r="F892" s="15" t="str">
        <f>CONCATENATE(Tabla1[[#This Row],[NOMBRE_MPIO]]," (",Tabla1[[#This Row],[NOMBRE_DEPTO]],")")</f>
        <v>SANTA BaRBARA (ANTIOQUIA)</v>
      </c>
      <c r="G892" s="19" t="s">
        <v>2075</v>
      </c>
    </row>
    <row r="893" spans="1:7" x14ac:dyDescent="0.15">
      <c r="A893" s="19">
        <v>52</v>
      </c>
      <c r="B893" s="14" t="s">
        <v>80</v>
      </c>
      <c r="D893" s="14" t="s">
        <v>2074</v>
      </c>
      <c r="E893" s="14" t="s">
        <v>2076</v>
      </c>
      <c r="F893" s="15" t="str">
        <f>CONCATENATE(Tabla1[[#This Row],[NOMBRE_MPIO]]," (",Tabla1[[#This Row],[NOMBRE_DEPTO]],")")</f>
        <v>SANTA BaRBARA (NARIÑO)</v>
      </c>
      <c r="G893" s="19" t="s">
        <v>2076</v>
      </c>
    </row>
    <row r="894" spans="1:7" x14ac:dyDescent="0.15">
      <c r="A894" s="19">
        <v>68</v>
      </c>
      <c r="B894" s="14" t="s">
        <v>56</v>
      </c>
      <c r="D894" s="14" t="s">
        <v>2077</v>
      </c>
      <c r="E894" s="14" t="s">
        <v>2078</v>
      </c>
      <c r="F894" s="15" t="str">
        <f>CONCATENATE(Tabla1[[#This Row],[NOMBRE_MPIO]]," (",Tabla1[[#This Row],[NOMBRE_DEPTO]],")")</f>
        <v>SANTA BÁRBARA (SANTANDER)</v>
      </c>
      <c r="G894" s="19" t="s">
        <v>2078</v>
      </c>
    </row>
    <row r="895" spans="1:7" x14ac:dyDescent="0.15">
      <c r="A895" s="19">
        <v>47</v>
      </c>
      <c r="B895" s="14" t="s">
        <v>102</v>
      </c>
      <c r="D895" s="14" t="s">
        <v>2079</v>
      </c>
      <c r="E895" s="14" t="s">
        <v>2080</v>
      </c>
      <c r="F895" s="15" t="str">
        <f>CONCATENATE(Tabla1[[#This Row],[NOMBRE_MPIO]]," (",Tabla1[[#This Row],[NOMBRE_DEPTO]],")")</f>
        <v>SANTA BARBARA DE PINTO (MAGDALENA)</v>
      </c>
      <c r="G895" s="19" t="s">
        <v>2080</v>
      </c>
    </row>
    <row r="896" spans="1:7" x14ac:dyDescent="0.15">
      <c r="A896" s="19">
        <v>13</v>
      </c>
      <c r="B896" s="14" t="s">
        <v>37</v>
      </c>
      <c r="C896" s="14" t="s">
        <v>250</v>
      </c>
      <c r="D896" s="14" t="s">
        <v>2081</v>
      </c>
      <c r="E896" s="14" t="s">
        <v>2082</v>
      </c>
      <c r="F896" s="15" t="str">
        <f>CONCATENATE(Tabla1[[#This Row],[NOMBRE_MPIO]]," (",Tabla1[[#This Row],[NOMBRE_DEPTO]],")")</f>
        <v>SANTA CATALINA (BOLIVAR)</v>
      </c>
      <c r="G896" s="19" t="s">
        <v>2082</v>
      </c>
    </row>
    <row r="897" spans="1:7" x14ac:dyDescent="0.15">
      <c r="A897" s="19">
        <v>52</v>
      </c>
      <c r="B897" s="14" t="s">
        <v>80</v>
      </c>
      <c r="D897" s="14" t="s">
        <v>2083</v>
      </c>
      <c r="E897" s="14" t="s">
        <v>2084</v>
      </c>
      <c r="F897" s="15" t="str">
        <f>CONCATENATE(Tabla1[[#This Row],[NOMBRE_MPIO]]," (",Tabla1[[#This Row],[NOMBRE_DEPTO]],")")</f>
        <v>SANTA CRUZ (NARIÑO)</v>
      </c>
      <c r="G897" s="19" t="s">
        <v>2084</v>
      </c>
    </row>
    <row r="898" spans="1:7" x14ac:dyDescent="0.15">
      <c r="A898" s="19">
        <v>68</v>
      </c>
      <c r="B898" s="14" t="s">
        <v>56</v>
      </c>
      <c r="D898" s="14" t="s">
        <v>2085</v>
      </c>
      <c r="E898" s="14" t="s">
        <v>2086</v>
      </c>
      <c r="F898" s="15" t="str">
        <f>CONCATENATE(Tabla1[[#This Row],[NOMBRE_MPIO]]," (",Tabla1[[#This Row],[NOMBRE_DEPTO]],")")</f>
        <v>SANTA HELENA DEL OPÓN (SANTANDER)</v>
      </c>
      <c r="G898" s="19" t="s">
        <v>2086</v>
      </c>
    </row>
    <row r="899" spans="1:7" x14ac:dyDescent="0.15">
      <c r="A899" s="19">
        <v>73</v>
      </c>
      <c r="B899" s="14" t="s">
        <v>117</v>
      </c>
      <c r="D899" s="14" t="s">
        <v>2087</v>
      </c>
      <c r="E899" s="14" t="s">
        <v>2088</v>
      </c>
      <c r="F899" s="15" t="str">
        <f>CONCATENATE(Tabla1[[#This Row],[NOMBRE_MPIO]]," (",Tabla1[[#This Row],[NOMBRE_DEPTO]],")")</f>
        <v>SANTA ISABEL (TOLIMA)</v>
      </c>
      <c r="G899" s="19" t="s">
        <v>2088</v>
      </c>
    </row>
    <row r="900" spans="1:7" x14ac:dyDescent="0.15">
      <c r="A900" s="19">
        <v>8</v>
      </c>
      <c r="B900" s="14" t="s">
        <v>296</v>
      </c>
      <c r="C900" s="14" t="s">
        <v>33</v>
      </c>
      <c r="D900" s="14" t="s">
        <v>2089</v>
      </c>
      <c r="E900" s="14" t="s">
        <v>2090</v>
      </c>
      <c r="F900" s="15" t="str">
        <f>CONCATENATE(Tabla1[[#This Row],[NOMBRE_MPIO]]," (",Tabla1[[#This Row],[NOMBRE_DEPTO]],")")</f>
        <v>SANTA LUCiA (ATLÁNTICO)</v>
      </c>
      <c r="G900" s="19" t="s">
        <v>2090</v>
      </c>
    </row>
    <row r="901" spans="1:7" x14ac:dyDescent="0.15">
      <c r="A901" s="19">
        <v>15</v>
      </c>
      <c r="B901" s="14" t="s">
        <v>113</v>
      </c>
      <c r="C901" s="14" t="s">
        <v>700</v>
      </c>
      <c r="D901" s="14" t="s">
        <v>2091</v>
      </c>
      <c r="E901" s="14" t="s">
        <v>2092</v>
      </c>
      <c r="F901" s="15" t="str">
        <f>CONCATENATE(Tabla1[[#This Row],[NOMBRE_MPIO]]," (",Tabla1[[#This Row],[NOMBRE_DEPTO]],")")</f>
        <v>SANTA MARÍA (BOYACÁ)</v>
      </c>
      <c r="G901" s="19" t="s">
        <v>2092</v>
      </c>
    </row>
    <row r="902" spans="1:7" x14ac:dyDescent="0.15">
      <c r="A902" s="19">
        <v>41</v>
      </c>
      <c r="B902" s="14" t="s">
        <v>32</v>
      </c>
      <c r="D902" s="14" t="s">
        <v>2091</v>
      </c>
      <c r="E902" s="14" t="s">
        <v>2093</v>
      </c>
      <c r="F902" s="15" t="str">
        <f>CONCATENATE(Tabla1[[#This Row],[NOMBRE_MPIO]]," (",Tabla1[[#This Row],[NOMBRE_DEPTO]],")")</f>
        <v>SANTA MARÍA (HUILA)</v>
      </c>
      <c r="G902" s="19" t="s">
        <v>2093</v>
      </c>
    </row>
    <row r="903" spans="1:7" x14ac:dyDescent="0.15">
      <c r="A903" s="19">
        <v>47</v>
      </c>
      <c r="B903" s="14" t="s">
        <v>102</v>
      </c>
      <c r="C903" s="14" t="s">
        <v>2094</v>
      </c>
      <c r="D903" s="14" t="s">
        <v>2094</v>
      </c>
      <c r="E903" s="14" t="s">
        <v>2095</v>
      </c>
      <c r="F903" s="15" t="str">
        <f>CONCATENATE(Tabla1[[#This Row],[NOMBRE_MPIO]]," (",Tabla1[[#This Row],[NOMBRE_DEPTO]],")")</f>
        <v>SANTA MARTA (MAGDALENA)</v>
      </c>
      <c r="G903" s="19" t="s">
        <v>2095</v>
      </c>
    </row>
    <row r="904" spans="1:7" x14ac:dyDescent="0.15">
      <c r="A904" s="19">
        <v>19</v>
      </c>
      <c r="B904" s="14" t="s">
        <v>109</v>
      </c>
      <c r="C904" s="14" t="s">
        <v>52</v>
      </c>
      <c r="D904" s="14" t="s">
        <v>2096</v>
      </c>
      <c r="E904" s="14" t="s">
        <v>2097</v>
      </c>
      <c r="F904" s="15" t="str">
        <f>CONCATENATE(Tabla1[[#This Row],[NOMBRE_MPIO]]," (",Tabla1[[#This Row],[NOMBRE_DEPTO]],")")</f>
        <v>SANTA ROSA (CAUCA)</v>
      </c>
      <c r="G904" s="19" t="s">
        <v>2097</v>
      </c>
    </row>
    <row r="905" spans="1:7" x14ac:dyDescent="0.15">
      <c r="A905" s="19">
        <v>66</v>
      </c>
      <c r="B905" s="14" t="s">
        <v>191</v>
      </c>
      <c r="D905" s="14" t="s">
        <v>2098</v>
      </c>
      <c r="E905" s="14" t="s">
        <v>2099</v>
      </c>
      <c r="F905" s="15" t="str">
        <f>CONCATENATE(Tabla1[[#This Row],[NOMBRE_MPIO]]," (",Tabla1[[#This Row],[NOMBRE_DEPTO]],")")</f>
        <v>SANTA ROSA DE CABAL (RISARALDA)</v>
      </c>
      <c r="G905" s="19" t="s">
        <v>2099</v>
      </c>
    </row>
    <row r="906" spans="1:7" x14ac:dyDescent="0.15">
      <c r="A906" s="19">
        <v>13</v>
      </c>
      <c r="B906" s="14" t="s">
        <v>37</v>
      </c>
      <c r="C906" s="14" t="s">
        <v>250</v>
      </c>
      <c r="D906" s="14" t="s">
        <v>2100</v>
      </c>
      <c r="E906" s="14" t="s">
        <v>2101</v>
      </c>
      <c r="F906" s="15" t="str">
        <f>CONCATENATE(Tabla1[[#This Row],[NOMBRE_MPIO]]," (",Tabla1[[#This Row],[NOMBRE_DEPTO]],")")</f>
        <v>SANTA ROSA DE LIMA (BOLIVAR)</v>
      </c>
      <c r="G906" s="19" t="s">
        <v>2101</v>
      </c>
    </row>
    <row r="907" spans="1:7" x14ac:dyDescent="0.15">
      <c r="A907" s="19">
        <v>5</v>
      </c>
      <c r="B907" s="14" t="s">
        <v>9</v>
      </c>
      <c r="C907" s="14" t="s">
        <v>62</v>
      </c>
      <c r="D907" s="14" t="s">
        <v>2102</v>
      </c>
      <c r="E907" s="14" t="s">
        <v>2103</v>
      </c>
      <c r="F907" s="15" t="str">
        <f>CONCATENATE(Tabla1[[#This Row],[NOMBRE_MPIO]]," (",Tabla1[[#This Row],[NOMBRE_DEPTO]],")")</f>
        <v>SANTA ROSA de osos (ANTIOQUIA)</v>
      </c>
      <c r="G907" s="19" t="s">
        <v>2103</v>
      </c>
    </row>
    <row r="908" spans="1:7" x14ac:dyDescent="0.15">
      <c r="A908" s="19">
        <v>13</v>
      </c>
      <c r="B908" s="14" t="s">
        <v>37</v>
      </c>
      <c r="C908" s="14" t="s">
        <v>236</v>
      </c>
      <c r="D908" s="14" t="s">
        <v>2104</v>
      </c>
      <c r="E908" s="14" t="s">
        <v>2105</v>
      </c>
      <c r="F908" s="15" t="str">
        <f>CONCATENATE(Tabla1[[#This Row],[NOMBRE_MPIO]]," (",Tabla1[[#This Row],[NOMBRE_DEPTO]],")")</f>
        <v>SANTA ROSA DEL SUR (BOLIVAR)</v>
      </c>
      <c r="G908" s="19" t="s">
        <v>2105</v>
      </c>
    </row>
    <row r="909" spans="1:7" x14ac:dyDescent="0.15">
      <c r="A909" s="19">
        <v>99</v>
      </c>
      <c r="B909" s="14" t="s">
        <v>879</v>
      </c>
      <c r="D909" s="14" t="s">
        <v>2106</v>
      </c>
      <c r="E909" s="14" t="s">
        <v>2107</v>
      </c>
      <c r="F909" s="15" t="str">
        <f>CONCATENATE(Tabla1[[#This Row],[NOMBRE_MPIO]]," (",Tabla1[[#This Row],[NOMBRE_DEPTO]],")")</f>
        <v>SANTA ROSALÍA (VICHADA)</v>
      </c>
      <c r="G909" s="19" t="s">
        <v>2107</v>
      </c>
    </row>
    <row r="910" spans="1:7" x14ac:dyDescent="0.15">
      <c r="A910" s="19">
        <v>15</v>
      </c>
      <c r="B910" s="14" t="s">
        <v>113</v>
      </c>
      <c r="C910" s="14" t="s">
        <v>232</v>
      </c>
      <c r="D910" s="14" t="s">
        <v>2108</v>
      </c>
      <c r="E910" s="14" t="s">
        <v>2109</v>
      </c>
      <c r="F910" s="15" t="str">
        <f>CONCATENATE(Tabla1[[#This Row],[NOMBRE_MPIO]]," (",Tabla1[[#This Row],[NOMBRE_DEPTO]],")")</f>
        <v>SANTA SOFÍA (BOYACÁ)</v>
      </c>
      <c r="G910" s="19" t="s">
        <v>2109</v>
      </c>
    </row>
    <row r="911" spans="1:7" x14ac:dyDescent="0.15">
      <c r="A911" s="19">
        <v>5</v>
      </c>
      <c r="B911" s="14" t="s">
        <v>9</v>
      </c>
      <c r="C911" s="14" t="s">
        <v>15</v>
      </c>
      <c r="D911" s="14" t="s">
        <v>2110</v>
      </c>
      <c r="E911" s="14" t="s">
        <v>2111</v>
      </c>
      <c r="F911" s="15" t="str">
        <f>CONCATENATE(Tabla1[[#This Row],[NOMBRE_MPIO]]," (",Tabla1[[#This Row],[NOMBRE_DEPTO]],")")</f>
        <v>SANTAFÉ DE ANTIOQUIA (ANTIOQUIA)</v>
      </c>
      <c r="G911" s="19" t="s">
        <v>2111</v>
      </c>
    </row>
    <row r="912" spans="1:7" x14ac:dyDescent="0.15">
      <c r="A912" s="19">
        <v>15</v>
      </c>
      <c r="B912" s="14" t="s">
        <v>113</v>
      </c>
      <c r="C912" s="14" t="s">
        <v>232</v>
      </c>
      <c r="D912" s="14" t="s">
        <v>2112</v>
      </c>
      <c r="E912" s="14" t="s">
        <v>2113</v>
      </c>
      <c r="F912" s="15" t="str">
        <f>CONCATENATE(Tabla1[[#This Row],[NOMBRE_MPIO]]," (",Tabla1[[#This Row],[NOMBRE_DEPTO]],")")</f>
        <v>SANTANA (BOYACÁ)</v>
      </c>
      <c r="G912" s="19" t="s">
        <v>2113</v>
      </c>
    </row>
    <row r="913" spans="1:7" x14ac:dyDescent="0.15">
      <c r="A913" s="19">
        <v>19</v>
      </c>
      <c r="B913" s="14" t="s">
        <v>109</v>
      </c>
      <c r="C913" s="14" t="s">
        <v>62</v>
      </c>
      <c r="D913" s="14" t="s">
        <v>2114</v>
      </c>
      <c r="E913" s="14" t="s">
        <v>2115</v>
      </c>
      <c r="F913" s="15" t="str">
        <f>CONCATENATE(Tabla1[[#This Row],[NOMBRE_MPIO]]," (",Tabla1[[#This Row],[NOMBRE_DEPTO]],")")</f>
        <v>SANTANDER DE QUILICHAO (CAUCA)</v>
      </c>
      <c r="G913" s="19" t="s">
        <v>2115</v>
      </c>
    </row>
    <row r="914" spans="1:7" x14ac:dyDescent="0.15">
      <c r="A914" s="19">
        <v>54</v>
      </c>
      <c r="B914" s="14" t="s">
        <v>14</v>
      </c>
      <c r="D914" s="14" t="s">
        <v>2116</v>
      </c>
      <c r="E914" s="14" t="s">
        <v>2117</v>
      </c>
      <c r="F914" s="15" t="str">
        <f>CONCATENATE(Tabla1[[#This Row],[NOMBRE_MPIO]]," (",Tabla1[[#This Row],[NOMBRE_DEPTO]],")")</f>
        <v>SANTIAGO (NORTE DE SANTANDER)</v>
      </c>
      <c r="G914" s="19" t="s">
        <v>2117</v>
      </c>
    </row>
    <row r="915" spans="1:7" x14ac:dyDescent="0.15">
      <c r="A915" s="19">
        <v>86</v>
      </c>
      <c r="B915" s="14" t="s">
        <v>793</v>
      </c>
      <c r="D915" s="14" t="s">
        <v>2116</v>
      </c>
      <c r="E915" s="14" t="s">
        <v>2118</v>
      </c>
      <c r="F915" s="15" t="str">
        <f>CONCATENATE(Tabla1[[#This Row],[NOMBRE_MPIO]]," (",Tabla1[[#This Row],[NOMBRE_DEPTO]],")")</f>
        <v>SANTIAGO (PUTUMAYO)</v>
      </c>
      <c r="G915" s="19" t="s">
        <v>2118</v>
      </c>
    </row>
    <row r="916" spans="1:7" x14ac:dyDescent="0.15">
      <c r="A916" s="19">
        <v>70</v>
      </c>
      <c r="B916" s="14" t="s">
        <v>443</v>
      </c>
      <c r="D916" s="14" t="s">
        <v>2119</v>
      </c>
      <c r="E916" s="14" t="s">
        <v>2120</v>
      </c>
      <c r="F916" s="15" t="str">
        <f>CONCATENATE(Tabla1[[#This Row],[NOMBRE_MPIO]]," (",Tabla1[[#This Row],[NOMBRE_DEPTO]],")")</f>
        <v>SANTIAGO DE TOLÚ (SUCRE)</v>
      </c>
      <c r="G916" s="19" t="s">
        <v>2120</v>
      </c>
    </row>
    <row r="917" spans="1:7" x14ac:dyDescent="0.15">
      <c r="A917" s="19">
        <v>5</v>
      </c>
      <c r="B917" s="14" t="s">
        <v>9</v>
      </c>
      <c r="C917" s="14" t="s">
        <v>141</v>
      </c>
      <c r="D917" s="14" t="s">
        <v>2121</v>
      </c>
      <c r="E917" s="14" t="s">
        <v>2122</v>
      </c>
      <c r="F917" s="15" t="str">
        <f>CONCATENATE(Tabla1[[#This Row],[NOMBRE_MPIO]]," (",Tabla1[[#This Row],[NOMBRE_DEPTO]],")")</f>
        <v>SANTO DOMINGO (ANTIOQUIA)</v>
      </c>
      <c r="G917" s="19" t="s">
        <v>2122</v>
      </c>
    </row>
    <row r="918" spans="1:7" x14ac:dyDescent="0.15">
      <c r="A918" s="19">
        <v>8</v>
      </c>
      <c r="B918" s="14" t="s">
        <v>296</v>
      </c>
      <c r="C918" s="14" t="s">
        <v>297</v>
      </c>
      <c r="D918" s="14" t="s">
        <v>2123</v>
      </c>
      <c r="E918" s="14" t="s">
        <v>2124</v>
      </c>
      <c r="F918" s="15" t="str">
        <f>CONCATENATE(Tabla1[[#This Row],[NOMBRE_MPIO]]," (",Tabla1[[#This Row],[NOMBRE_DEPTO]],")")</f>
        <v>Santo Tomas (ATLÁNTICO)</v>
      </c>
      <c r="G918" s="19" t="s">
        <v>2124</v>
      </c>
    </row>
    <row r="919" spans="1:7" x14ac:dyDescent="0.15">
      <c r="A919" s="19">
        <v>5</v>
      </c>
      <c r="B919" s="14" t="s">
        <v>9</v>
      </c>
      <c r="C919" s="14" t="s">
        <v>10</v>
      </c>
      <c r="D919" s="14" t="s">
        <v>2125</v>
      </c>
      <c r="E919" s="14" t="s">
        <v>2126</v>
      </c>
      <c r="F919" s="15" t="str">
        <f>CONCATENATE(Tabla1[[#This Row],[NOMBRE_MPIO]]," (",Tabla1[[#This Row],[NOMBRE_DEPTO]],")")</f>
        <v>SANTUARIO (ANTIOQUIA)</v>
      </c>
      <c r="G919" s="19" t="s">
        <v>2126</v>
      </c>
    </row>
    <row r="920" spans="1:7" x14ac:dyDescent="0.15">
      <c r="A920" s="19">
        <v>66</v>
      </c>
      <c r="B920" s="14" t="s">
        <v>191</v>
      </c>
      <c r="D920" s="14" t="s">
        <v>2125</v>
      </c>
      <c r="E920" s="14" t="s">
        <v>2127</v>
      </c>
      <c r="F920" s="15" t="str">
        <f>CONCATENATE(Tabla1[[#This Row],[NOMBRE_MPIO]]," (",Tabla1[[#This Row],[NOMBRE_DEPTO]],")")</f>
        <v>SANTUARIO (RISARALDA)</v>
      </c>
      <c r="G920" s="19" t="s">
        <v>2127</v>
      </c>
    </row>
    <row r="921" spans="1:7" x14ac:dyDescent="0.15">
      <c r="A921" s="19">
        <v>52</v>
      </c>
      <c r="B921" s="14" t="s">
        <v>80</v>
      </c>
      <c r="D921" s="14" t="s">
        <v>2128</v>
      </c>
      <c r="E921" s="14" t="s">
        <v>2129</v>
      </c>
      <c r="F921" s="15" t="str">
        <f>CONCATENATE(Tabla1[[#This Row],[NOMBRE_MPIO]]," (",Tabla1[[#This Row],[NOMBRE_DEPTO]],")")</f>
        <v>SAPUYES (NARIÑO)</v>
      </c>
      <c r="G921" s="19" t="s">
        <v>2129</v>
      </c>
    </row>
    <row r="922" spans="1:7" x14ac:dyDescent="0.15">
      <c r="A922" s="19">
        <v>81</v>
      </c>
      <c r="B922" s="14" t="s">
        <v>213</v>
      </c>
      <c r="C922" s="14" t="s">
        <v>213</v>
      </c>
      <c r="D922" s="14" t="s">
        <v>2130</v>
      </c>
      <c r="E922" s="14" t="s">
        <v>2131</v>
      </c>
      <c r="F922" s="15" t="str">
        <f>CONCATENATE(Tabla1[[#This Row],[NOMBRE_MPIO]]," (",Tabla1[[#This Row],[NOMBRE_DEPTO]],")")</f>
        <v>SARAVENA (ARAUCA)</v>
      </c>
      <c r="G922" s="19" t="s">
        <v>2131</v>
      </c>
    </row>
    <row r="923" spans="1:7" x14ac:dyDescent="0.15">
      <c r="A923" s="19">
        <v>54</v>
      </c>
      <c r="B923" s="14" t="s">
        <v>14</v>
      </c>
      <c r="D923" s="14" t="s">
        <v>2132</v>
      </c>
      <c r="E923" s="14" t="s">
        <v>2133</v>
      </c>
      <c r="F923" s="15" t="str">
        <f>CONCATENATE(Tabla1[[#This Row],[NOMBRE_MPIO]]," (",Tabla1[[#This Row],[NOMBRE_DEPTO]],")")</f>
        <v>SARDINATA (NORTE DE SANTANDER)</v>
      </c>
      <c r="G923" s="19" t="s">
        <v>2133</v>
      </c>
    </row>
    <row r="924" spans="1:7" x14ac:dyDescent="0.15">
      <c r="A924" s="19">
        <v>25</v>
      </c>
      <c r="B924" s="14" t="s">
        <v>46</v>
      </c>
      <c r="D924" s="14" t="s">
        <v>2134</v>
      </c>
      <c r="E924" s="14" t="s">
        <v>2135</v>
      </c>
      <c r="F924" s="15" t="str">
        <f>CONCATENATE(Tabla1[[#This Row],[NOMBRE_MPIO]]," (",Tabla1[[#This Row],[NOMBRE_DEPTO]],")")</f>
        <v>SASAIMA (CUNDINAMARCA)</v>
      </c>
      <c r="G924" s="19" t="s">
        <v>2135</v>
      </c>
    </row>
    <row r="925" spans="1:7" x14ac:dyDescent="0.15">
      <c r="A925" s="19">
        <v>15</v>
      </c>
      <c r="B925" s="14" t="s">
        <v>113</v>
      </c>
      <c r="C925" s="14" t="s">
        <v>62</v>
      </c>
      <c r="D925" s="14" t="s">
        <v>2136</v>
      </c>
      <c r="E925" s="14" t="s">
        <v>2137</v>
      </c>
      <c r="F925" s="15" t="str">
        <f>CONCATENATE(Tabla1[[#This Row],[NOMBRE_MPIO]]," (",Tabla1[[#This Row],[NOMBRE_DEPTO]],")")</f>
        <v>SATIVANORTE (BOYACÁ)</v>
      </c>
      <c r="G925" s="19" t="s">
        <v>2137</v>
      </c>
    </row>
    <row r="926" spans="1:7" x14ac:dyDescent="0.15">
      <c r="A926" s="19">
        <v>15</v>
      </c>
      <c r="B926" s="14" t="s">
        <v>113</v>
      </c>
      <c r="C926" s="14" t="s">
        <v>62</v>
      </c>
      <c r="D926" s="14" t="s">
        <v>2138</v>
      </c>
      <c r="E926" s="14" t="s">
        <v>2139</v>
      </c>
      <c r="F926" s="15" t="str">
        <f>CONCATENATE(Tabla1[[#This Row],[NOMBRE_MPIO]]," (",Tabla1[[#This Row],[NOMBRE_DEPTO]],")")</f>
        <v>SATIVASUR (BOYACÁ)</v>
      </c>
      <c r="G926" s="19" t="s">
        <v>2139</v>
      </c>
    </row>
    <row r="927" spans="1:7" x14ac:dyDescent="0.15">
      <c r="A927" s="19">
        <v>5</v>
      </c>
      <c r="B927" s="14" t="s">
        <v>9</v>
      </c>
      <c r="C927" s="14" t="s">
        <v>141</v>
      </c>
      <c r="D927" s="14" t="s">
        <v>2140</v>
      </c>
      <c r="E927" s="14" t="s">
        <v>2141</v>
      </c>
      <c r="F927" s="15" t="str">
        <f>CONCATENATE(Tabla1[[#This Row],[NOMBRE_MPIO]]," (",Tabla1[[#This Row],[NOMBRE_DEPTO]],")")</f>
        <v>SEGOVIA (ANTIOQUIA)</v>
      </c>
      <c r="G927" s="19" t="s">
        <v>2141</v>
      </c>
    </row>
    <row r="928" spans="1:7" x14ac:dyDescent="0.15">
      <c r="A928" s="19">
        <v>25</v>
      </c>
      <c r="B928" s="14" t="s">
        <v>46</v>
      </c>
      <c r="D928" s="14" t="s">
        <v>2142</v>
      </c>
      <c r="E928" s="14" t="s">
        <v>2143</v>
      </c>
      <c r="F928" s="15" t="str">
        <f>CONCATENATE(Tabla1[[#This Row],[NOMBRE_MPIO]]," (",Tabla1[[#This Row],[NOMBRE_DEPTO]],")")</f>
        <v>SESQUILÉ (CUNDINAMARCA)</v>
      </c>
      <c r="G928" s="19" t="s">
        <v>2143</v>
      </c>
    </row>
    <row r="929" spans="1:7" x14ac:dyDescent="0.15">
      <c r="A929" s="19">
        <v>76</v>
      </c>
      <c r="B929" s="14" t="s">
        <v>92</v>
      </c>
      <c r="D929" s="14" t="s">
        <v>2144</v>
      </c>
      <c r="E929" s="14" t="s">
        <v>2145</v>
      </c>
      <c r="F929" s="15" t="str">
        <f>CONCATENATE(Tabla1[[#This Row],[NOMBRE_MPIO]]," (",Tabla1[[#This Row],[NOMBRE_DEPTO]],")")</f>
        <v>SEVILLA (VALLE DEL CAUCA)</v>
      </c>
      <c r="G929" s="19" t="s">
        <v>2145</v>
      </c>
    </row>
    <row r="930" spans="1:7" x14ac:dyDescent="0.15">
      <c r="A930" s="19">
        <v>15</v>
      </c>
      <c r="B930" s="14" t="s">
        <v>113</v>
      </c>
      <c r="C930" s="14" t="s">
        <v>42</v>
      </c>
      <c r="D930" s="14" t="s">
        <v>2146</v>
      </c>
      <c r="E930" s="14" t="s">
        <v>2147</v>
      </c>
      <c r="F930" s="15" t="str">
        <f>CONCATENATE(Tabla1[[#This Row],[NOMBRE_MPIO]]," (",Tabla1[[#This Row],[NOMBRE_DEPTO]],")")</f>
        <v>SIACHOQUE (BOYACÁ)</v>
      </c>
      <c r="G930" s="19" t="s">
        <v>2147</v>
      </c>
    </row>
    <row r="931" spans="1:7" x14ac:dyDescent="0.15">
      <c r="A931" s="19">
        <v>25</v>
      </c>
      <c r="B931" s="14" t="s">
        <v>46</v>
      </c>
      <c r="C931" s="14" t="s">
        <v>2148</v>
      </c>
      <c r="D931" s="14" t="s">
        <v>2149</v>
      </c>
      <c r="E931" s="14" t="s">
        <v>2150</v>
      </c>
      <c r="F931" s="15" t="str">
        <f>CONCATENATE(Tabla1[[#This Row],[NOMBRE_MPIO]]," (",Tabla1[[#This Row],[NOMBRE_DEPTO]],")")</f>
        <v>SIBATÉ (CUNDINAMARCA)</v>
      </c>
      <c r="G931" s="19" t="s">
        <v>2150</v>
      </c>
    </row>
    <row r="932" spans="1:7" x14ac:dyDescent="0.15">
      <c r="A932" s="19">
        <v>86</v>
      </c>
      <c r="B932" s="14" t="s">
        <v>793</v>
      </c>
      <c r="D932" s="14" t="s">
        <v>2151</v>
      </c>
      <c r="E932" s="14" t="s">
        <v>2152</v>
      </c>
      <c r="F932" s="15" t="str">
        <f>CONCATENATE(Tabla1[[#This Row],[NOMBRE_MPIO]]," (",Tabla1[[#This Row],[NOMBRE_DEPTO]],")")</f>
        <v>SIBUNDOY (PUTUMAYO)</v>
      </c>
      <c r="G932" s="19" t="s">
        <v>2152</v>
      </c>
    </row>
    <row r="933" spans="1:7" x14ac:dyDescent="0.15">
      <c r="A933" s="19">
        <v>54</v>
      </c>
      <c r="B933" s="14" t="s">
        <v>14</v>
      </c>
      <c r="D933" s="14" t="s">
        <v>2153</v>
      </c>
      <c r="E933" s="14" t="s">
        <v>2154</v>
      </c>
      <c r="F933" s="15" t="str">
        <f>CONCATENATE(Tabla1[[#This Row],[NOMBRE_MPIO]]," (",Tabla1[[#This Row],[NOMBRE_DEPTO]],")")</f>
        <v>SILOS (NORTE DE SANTANDER)</v>
      </c>
      <c r="G933" s="19" t="s">
        <v>2154</v>
      </c>
    </row>
    <row r="934" spans="1:7" x14ac:dyDescent="0.15">
      <c r="A934" s="19">
        <v>25</v>
      </c>
      <c r="B934" s="14" t="s">
        <v>46</v>
      </c>
      <c r="D934" s="14" t="s">
        <v>2155</v>
      </c>
      <c r="E934" s="14" t="s">
        <v>2156</v>
      </c>
      <c r="F934" s="15" t="str">
        <f>CONCATENATE(Tabla1[[#This Row],[NOMBRE_MPIO]]," (",Tabla1[[#This Row],[NOMBRE_DEPTO]],")")</f>
        <v>SILVANIA (CUNDINAMARCA)</v>
      </c>
      <c r="G934" s="19" t="s">
        <v>2156</v>
      </c>
    </row>
    <row r="935" spans="1:7" x14ac:dyDescent="0.15">
      <c r="A935" s="19">
        <v>19</v>
      </c>
      <c r="B935" s="14" t="s">
        <v>109</v>
      </c>
      <c r="C935" s="14" t="s">
        <v>10</v>
      </c>
      <c r="D935" s="14" t="s">
        <v>2157</v>
      </c>
      <c r="E935" s="14" t="s">
        <v>2158</v>
      </c>
      <c r="F935" s="15" t="str">
        <f>CONCATENATE(Tabla1[[#This Row],[NOMBRE_MPIO]]," (",Tabla1[[#This Row],[NOMBRE_DEPTO]],")")</f>
        <v>Silvia (CAUCA)</v>
      </c>
      <c r="G935" s="19" t="s">
        <v>2158</v>
      </c>
    </row>
    <row r="936" spans="1:7" x14ac:dyDescent="0.15">
      <c r="A936" s="19">
        <v>68</v>
      </c>
      <c r="B936" s="14" t="s">
        <v>56</v>
      </c>
      <c r="D936" s="14" t="s">
        <v>2159</v>
      </c>
      <c r="E936" s="14" t="s">
        <v>2160</v>
      </c>
      <c r="F936" s="15" t="str">
        <f>CONCATENATE(Tabla1[[#This Row],[NOMBRE_MPIO]]," (",Tabla1[[#This Row],[NOMBRE_DEPTO]],")")</f>
        <v>SIMACOTA (SANTANDER)</v>
      </c>
      <c r="G936" s="19" t="s">
        <v>2160</v>
      </c>
    </row>
    <row r="937" spans="1:7" x14ac:dyDescent="0.15">
      <c r="A937" s="19">
        <v>25</v>
      </c>
      <c r="B937" s="14" t="s">
        <v>46</v>
      </c>
      <c r="D937" s="14" t="s">
        <v>2161</v>
      </c>
      <c r="E937" s="14" t="s">
        <v>2162</v>
      </c>
      <c r="F937" s="15" t="str">
        <f>CONCATENATE(Tabla1[[#This Row],[NOMBRE_MPIO]]," (",Tabla1[[#This Row],[NOMBRE_DEPTO]],")")</f>
        <v>SIMIJACA (CUNDINAMARCA)</v>
      </c>
      <c r="G937" s="19" t="s">
        <v>2162</v>
      </c>
    </row>
    <row r="938" spans="1:7" x14ac:dyDescent="0.15">
      <c r="A938" s="19">
        <v>13</v>
      </c>
      <c r="B938" s="14" t="s">
        <v>37</v>
      </c>
      <c r="C938" s="14" t="s">
        <v>236</v>
      </c>
      <c r="D938" s="14" t="s">
        <v>2163</v>
      </c>
      <c r="E938" s="14" t="s">
        <v>2164</v>
      </c>
      <c r="F938" s="15" t="str">
        <f>CONCATENATE(Tabla1[[#This Row],[NOMBRE_MPIO]]," (",Tabla1[[#This Row],[NOMBRE_DEPTO]],")")</f>
        <v>SIMITÍ (BOLIVAR)</v>
      </c>
      <c r="G938" s="19" t="s">
        <v>2164</v>
      </c>
    </row>
    <row r="939" spans="1:7" x14ac:dyDescent="0.15">
      <c r="A939" s="19">
        <v>70</v>
      </c>
      <c r="B939" s="14" t="s">
        <v>443</v>
      </c>
      <c r="D939" s="14" t="s">
        <v>2165</v>
      </c>
      <c r="E939" s="14" t="s">
        <v>2166</v>
      </c>
      <c r="F939" s="15" t="str">
        <f>CONCATENATE(Tabla1[[#This Row],[NOMBRE_MPIO]]," (",Tabla1[[#This Row],[NOMBRE_DEPTO]],")")</f>
        <v>SINCÉ (SUCRE)</v>
      </c>
      <c r="G939" s="19" t="s">
        <v>2166</v>
      </c>
    </row>
    <row r="940" spans="1:7" x14ac:dyDescent="0.15">
      <c r="A940" s="19">
        <v>70</v>
      </c>
      <c r="B940" s="14" t="s">
        <v>443</v>
      </c>
      <c r="D940" s="14" t="s">
        <v>2167</v>
      </c>
      <c r="E940" s="14" t="s">
        <v>2168</v>
      </c>
      <c r="F940" s="15" t="str">
        <f>CONCATENATE(Tabla1[[#This Row],[NOMBRE_MPIO]]," (",Tabla1[[#This Row],[NOMBRE_DEPTO]],")")</f>
        <v>SINCELEJO (SUCRE)</v>
      </c>
      <c r="G940" s="19" t="s">
        <v>2168</v>
      </c>
    </row>
    <row r="941" spans="1:7" x14ac:dyDescent="0.15">
      <c r="A941" s="19">
        <v>27</v>
      </c>
      <c r="B941" s="14" t="s">
        <v>27</v>
      </c>
      <c r="D941" s="14" t="s">
        <v>2169</v>
      </c>
      <c r="E941" s="14" t="s">
        <v>2170</v>
      </c>
      <c r="F941" s="15" t="str">
        <f>CONCATENATE(Tabla1[[#This Row],[NOMBRE_MPIO]]," (",Tabla1[[#This Row],[NOMBRE_DEPTO]],")")</f>
        <v>SIPÍ (CHOCO)</v>
      </c>
      <c r="G941" s="19" t="s">
        <v>2170</v>
      </c>
    </row>
    <row r="942" spans="1:7" x14ac:dyDescent="0.15">
      <c r="A942" s="19">
        <v>47</v>
      </c>
      <c r="B942" s="14" t="s">
        <v>102</v>
      </c>
      <c r="D942" s="14" t="s">
        <v>2171</v>
      </c>
      <c r="E942" s="14" t="s">
        <v>2172</v>
      </c>
      <c r="F942" s="15" t="str">
        <f>CONCATENATE(Tabla1[[#This Row],[NOMBRE_MPIO]]," (",Tabla1[[#This Row],[NOMBRE_DEPTO]],")")</f>
        <v>SITIONUEVO (MAGDALENA)</v>
      </c>
      <c r="G942" s="19" t="s">
        <v>2172</v>
      </c>
    </row>
    <row r="943" spans="1:7" x14ac:dyDescent="0.15">
      <c r="A943" s="19">
        <v>25</v>
      </c>
      <c r="B943" s="14" t="s">
        <v>46</v>
      </c>
      <c r="D943" s="14" t="s">
        <v>2148</v>
      </c>
      <c r="E943" s="14" t="s">
        <v>2173</v>
      </c>
      <c r="F943" s="15" t="str">
        <f>CONCATENATE(Tabla1[[#This Row],[NOMBRE_MPIO]]," (",Tabla1[[#This Row],[NOMBRE_DEPTO]],")")</f>
        <v>SOACHA (CUNDINAMARCA)</v>
      </c>
      <c r="G943" s="19" t="s">
        <v>2173</v>
      </c>
    </row>
    <row r="944" spans="1:7" x14ac:dyDescent="0.15">
      <c r="A944" s="19">
        <v>15</v>
      </c>
      <c r="B944" s="14" t="s">
        <v>113</v>
      </c>
      <c r="C944" s="14" t="s">
        <v>62</v>
      </c>
      <c r="D944" s="14" t="s">
        <v>2174</v>
      </c>
      <c r="E944" s="14" t="s">
        <v>2175</v>
      </c>
      <c r="F944" s="15" t="str">
        <f>CONCATENATE(Tabla1[[#This Row],[NOMBRE_MPIO]]," (",Tabla1[[#This Row],[NOMBRE_DEPTO]],")")</f>
        <v>SOATÁ (BOYACÁ)</v>
      </c>
      <c r="G944" s="19" t="s">
        <v>2175</v>
      </c>
    </row>
    <row r="945" spans="1:7" x14ac:dyDescent="0.15">
      <c r="A945" s="19">
        <v>15</v>
      </c>
      <c r="B945" s="14" t="s">
        <v>113</v>
      </c>
      <c r="C945" s="14" t="s">
        <v>377</v>
      </c>
      <c r="D945" s="14" t="s">
        <v>2176</v>
      </c>
      <c r="E945" s="14" t="s">
        <v>2177</v>
      </c>
      <c r="F945" s="15" t="str">
        <f>CONCATENATE(Tabla1[[#This Row],[NOMBRE_MPIO]]," (",Tabla1[[#This Row],[NOMBRE_DEPTO]],")")</f>
        <v>SOCHA (BOYACÁ)</v>
      </c>
      <c r="G945" s="19" t="s">
        <v>2177</v>
      </c>
    </row>
    <row r="946" spans="1:7" x14ac:dyDescent="0.15">
      <c r="A946" s="19">
        <v>68</v>
      </c>
      <c r="B946" s="14" t="s">
        <v>56</v>
      </c>
      <c r="D946" s="14" t="s">
        <v>2178</v>
      </c>
      <c r="E946" s="14" t="s">
        <v>2179</v>
      </c>
      <c r="F946" s="15" t="str">
        <f>CONCATENATE(Tabla1[[#This Row],[NOMBRE_MPIO]]," (",Tabla1[[#This Row],[NOMBRE_DEPTO]],")")</f>
        <v>SOCORRO (SANTANDER)</v>
      </c>
      <c r="G946" s="19" t="s">
        <v>2179</v>
      </c>
    </row>
    <row r="947" spans="1:7" x14ac:dyDescent="0.15">
      <c r="A947" s="19">
        <v>15</v>
      </c>
      <c r="B947" s="14" t="s">
        <v>113</v>
      </c>
      <c r="C947" s="14" t="s">
        <v>377</v>
      </c>
      <c r="D947" s="14" t="s">
        <v>2180</v>
      </c>
      <c r="E947" s="14" t="s">
        <v>2181</v>
      </c>
      <c r="F947" s="15" t="str">
        <f>CONCATENATE(Tabla1[[#This Row],[NOMBRE_MPIO]]," (",Tabla1[[#This Row],[NOMBRE_DEPTO]],")")</f>
        <v>SOCOTÁ (BOYACÁ)</v>
      </c>
      <c r="G947" s="19" t="s">
        <v>2181</v>
      </c>
    </row>
    <row r="948" spans="1:7" x14ac:dyDescent="0.15">
      <c r="A948" s="19">
        <v>15</v>
      </c>
      <c r="B948" s="14" t="s">
        <v>113</v>
      </c>
      <c r="C948" s="14" t="s">
        <v>199</v>
      </c>
      <c r="D948" s="14" t="s">
        <v>2182</v>
      </c>
      <c r="E948" s="14" t="s">
        <v>2183</v>
      </c>
      <c r="F948" s="15" t="str">
        <f>CONCATENATE(Tabla1[[#This Row],[NOMBRE_MPIO]]," (",Tabla1[[#This Row],[NOMBRE_DEPTO]],")")</f>
        <v>SOGAMOSO (BOYACÁ)</v>
      </c>
      <c r="G948" s="19" t="s">
        <v>2183</v>
      </c>
    </row>
    <row r="949" spans="1:7" x14ac:dyDescent="0.15">
      <c r="A949" s="19">
        <v>18</v>
      </c>
      <c r="B949" s="14" t="s">
        <v>84</v>
      </c>
      <c r="C949" s="14" t="s">
        <v>84</v>
      </c>
      <c r="D949" s="14" t="s">
        <v>2184</v>
      </c>
      <c r="E949" s="14" t="s">
        <v>2185</v>
      </c>
      <c r="F949" s="15" t="str">
        <f>CONCATENATE(Tabla1[[#This Row],[NOMBRE_MPIO]]," (",Tabla1[[#This Row],[NOMBRE_DEPTO]],")")</f>
        <v>SOLANO (CAQUETA)</v>
      </c>
      <c r="G949" s="19" t="s">
        <v>2185</v>
      </c>
    </row>
    <row r="950" spans="1:7" x14ac:dyDescent="0.15">
      <c r="A950" s="19">
        <v>8</v>
      </c>
      <c r="B950" s="14" t="s">
        <v>296</v>
      </c>
      <c r="C950" s="14" t="s">
        <v>62</v>
      </c>
      <c r="D950" s="14" t="s">
        <v>2186</v>
      </c>
      <c r="E950" s="14" t="s">
        <v>2187</v>
      </c>
      <c r="F950" s="15" t="str">
        <f>CONCATENATE(Tabla1[[#This Row],[NOMBRE_MPIO]]," (",Tabla1[[#This Row],[NOMBRE_DEPTO]],")")</f>
        <v>SOLEDAD (ATLÁNTICO)</v>
      </c>
      <c r="G950" s="19" t="s">
        <v>2187</v>
      </c>
    </row>
    <row r="951" spans="1:7" x14ac:dyDescent="0.15">
      <c r="A951" s="19">
        <v>18</v>
      </c>
      <c r="B951" s="14" t="s">
        <v>84</v>
      </c>
      <c r="C951" s="14" t="s">
        <v>84</v>
      </c>
      <c r="D951" s="14" t="s">
        <v>2188</v>
      </c>
      <c r="E951" s="14" t="s">
        <v>2189</v>
      </c>
      <c r="F951" s="15" t="str">
        <f>CONCATENATE(Tabla1[[#This Row],[NOMBRE_MPIO]]," (",Tabla1[[#This Row],[NOMBRE_DEPTO]],")")</f>
        <v>SOLITA (CAQUETA)</v>
      </c>
      <c r="G951" s="19" t="s">
        <v>2189</v>
      </c>
    </row>
    <row r="952" spans="1:7" x14ac:dyDescent="0.15">
      <c r="A952" s="19">
        <v>15</v>
      </c>
      <c r="B952" s="14" t="s">
        <v>113</v>
      </c>
      <c r="C952" s="14" t="s">
        <v>10</v>
      </c>
      <c r="D952" s="14" t="s">
        <v>2190</v>
      </c>
      <c r="E952" s="14" t="s">
        <v>2191</v>
      </c>
      <c r="F952" s="15" t="str">
        <f>CONCATENATE(Tabla1[[#This Row],[NOMBRE_MPIO]]," (",Tabla1[[#This Row],[NOMBRE_DEPTO]],")")</f>
        <v>SOMONDOCO (BOYACÁ)</v>
      </c>
      <c r="G952" s="19" t="s">
        <v>2191</v>
      </c>
    </row>
    <row r="953" spans="1:7" x14ac:dyDescent="0.15">
      <c r="A953" s="19">
        <v>5</v>
      </c>
      <c r="B953" s="14" t="s">
        <v>9</v>
      </c>
      <c r="C953" s="14" t="s">
        <v>10</v>
      </c>
      <c r="D953" s="14" t="s">
        <v>2192</v>
      </c>
      <c r="E953" s="14" t="s">
        <v>2193</v>
      </c>
      <c r="F953" s="15" t="str">
        <f>CONCATENATE(Tabla1[[#This Row],[NOMBRE_MPIO]]," (",Tabla1[[#This Row],[NOMBRE_DEPTO]],")")</f>
        <v>SONSON (ANTIOQUIA)</v>
      </c>
      <c r="G953" s="19" t="s">
        <v>2193</v>
      </c>
    </row>
    <row r="954" spans="1:7" x14ac:dyDescent="0.15">
      <c r="A954" s="19">
        <v>5</v>
      </c>
      <c r="B954" s="14" t="s">
        <v>9</v>
      </c>
      <c r="C954" s="14" t="s">
        <v>15</v>
      </c>
      <c r="D954" s="14" t="s">
        <v>2194</v>
      </c>
      <c r="E954" s="14" t="s">
        <v>2195</v>
      </c>
      <c r="F954" s="15" t="str">
        <f>CONCATENATE(Tabla1[[#This Row],[NOMBRE_MPIO]]," (",Tabla1[[#This Row],[NOMBRE_DEPTO]],")")</f>
        <v>SOPETRaN (ANTIOQUIA)</v>
      </c>
      <c r="G954" s="19" t="s">
        <v>2195</v>
      </c>
    </row>
    <row r="955" spans="1:7" x14ac:dyDescent="0.15">
      <c r="A955" s="19">
        <v>13</v>
      </c>
      <c r="B955" s="14" t="s">
        <v>37</v>
      </c>
      <c r="C955" s="14" t="s">
        <v>250</v>
      </c>
      <c r="D955" s="14" t="s">
        <v>2196</v>
      </c>
      <c r="E955" s="14" t="s">
        <v>2197</v>
      </c>
      <c r="F955" s="15" t="str">
        <f>CONCATENATE(Tabla1[[#This Row],[NOMBRE_MPIO]]," (",Tabla1[[#This Row],[NOMBRE_DEPTO]],")")</f>
        <v>SOPLAVIENTO (BOLIVAR)</v>
      </c>
      <c r="G955" s="19" t="s">
        <v>2197</v>
      </c>
    </row>
    <row r="956" spans="1:7" x14ac:dyDescent="0.15">
      <c r="A956" s="19">
        <v>25</v>
      </c>
      <c r="B956" s="14" t="s">
        <v>46</v>
      </c>
      <c r="D956" s="14" t="s">
        <v>2198</v>
      </c>
      <c r="E956" s="14" t="s">
        <v>2199</v>
      </c>
      <c r="F956" s="15" t="str">
        <f>CONCATENATE(Tabla1[[#This Row],[NOMBRE_MPIO]]," (",Tabla1[[#This Row],[NOMBRE_DEPTO]],")")</f>
        <v>SOPÓ (CUNDINAMARCA)</v>
      </c>
      <c r="G956" s="19" t="s">
        <v>2199</v>
      </c>
    </row>
    <row r="957" spans="1:7" x14ac:dyDescent="0.15">
      <c r="A957" s="19">
        <v>15</v>
      </c>
      <c r="B957" s="14" t="s">
        <v>113</v>
      </c>
      <c r="C957" s="14" t="s">
        <v>42</v>
      </c>
      <c r="D957" s="14" t="s">
        <v>2200</v>
      </c>
      <c r="E957" s="14" t="s">
        <v>2201</v>
      </c>
      <c r="F957" s="15" t="str">
        <f>CONCATENATE(Tabla1[[#This Row],[NOMBRE_MPIO]]," (",Tabla1[[#This Row],[NOMBRE_DEPTO]],")")</f>
        <v>SORA (BOYACÁ)</v>
      </c>
      <c r="G957" s="19" t="s">
        <v>2201</v>
      </c>
    </row>
    <row r="958" spans="1:7" x14ac:dyDescent="0.15">
      <c r="A958" s="19">
        <v>15</v>
      </c>
      <c r="B958" s="14" t="s">
        <v>113</v>
      </c>
      <c r="C958" s="14" t="s">
        <v>42</v>
      </c>
      <c r="D958" s="14" t="s">
        <v>2202</v>
      </c>
      <c r="E958" s="14" t="s">
        <v>2203</v>
      </c>
      <c r="F958" s="15" t="str">
        <f>CONCATENATE(Tabla1[[#This Row],[NOMBRE_MPIO]]," (",Tabla1[[#This Row],[NOMBRE_DEPTO]],")")</f>
        <v>SORACÁ (BOYACÁ)</v>
      </c>
      <c r="G958" s="19" t="s">
        <v>2203</v>
      </c>
    </row>
    <row r="959" spans="1:7" x14ac:dyDescent="0.15">
      <c r="A959" s="19">
        <v>15</v>
      </c>
      <c r="B959" s="14" t="s">
        <v>113</v>
      </c>
      <c r="C959" s="14" t="s">
        <v>42</v>
      </c>
      <c r="D959" s="14" t="s">
        <v>2204</v>
      </c>
      <c r="E959" s="14" t="s">
        <v>2205</v>
      </c>
      <c r="F959" s="15" t="str">
        <f>CONCATENATE(Tabla1[[#This Row],[NOMBRE_MPIO]]," (",Tabla1[[#This Row],[NOMBRE_DEPTO]],")")</f>
        <v>SOTAQUIRÁ (BOYACÁ)</v>
      </c>
      <c r="G959" s="19" t="s">
        <v>2205</v>
      </c>
    </row>
    <row r="960" spans="1:7" x14ac:dyDescent="0.15">
      <c r="A960" s="19">
        <v>19</v>
      </c>
      <c r="B960" s="14" t="s">
        <v>109</v>
      </c>
      <c r="C960" s="14" t="s">
        <v>42</v>
      </c>
      <c r="D960" s="14" t="s">
        <v>2206</v>
      </c>
      <c r="E960" s="14" t="s">
        <v>2207</v>
      </c>
      <c r="F960" s="15" t="str">
        <f>CONCATENATE(Tabla1[[#This Row],[NOMBRE_MPIO]]," (",Tabla1[[#This Row],[NOMBRE_DEPTO]],")")</f>
        <v>SOTARA (CAUCA)</v>
      </c>
      <c r="G960" s="19" t="s">
        <v>2207</v>
      </c>
    </row>
    <row r="961" spans="1:7" x14ac:dyDescent="0.15">
      <c r="A961" s="19">
        <v>68</v>
      </c>
      <c r="B961" s="14" t="s">
        <v>56</v>
      </c>
      <c r="D961" s="14" t="s">
        <v>2208</v>
      </c>
      <c r="E961" s="14" t="s">
        <v>2209</v>
      </c>
      <c r="F961" s="15" t="str">
        <f>CONCATENATE(Tabla1[[#This Row],[NOMBRE_MPIO]]," (",Tabla1[[#This Row],[NOMBRE_DEPTO]],")")</f>
        <v>SUAITA (SANTANDER)</v>
      </c>
      <c r="G961" s="19" t="s">
        <v>2209</v>
      </c>
    </row>
    <row r="962" spans="1:7" x14ac:dyDescent="0.15">
      <c r="A962" s="19">
        <v>8</v>
      </c>
      <c r="B962" s="14" t="s">
        <v>296</v>
      </c>
      <c r="C962" s="14" t="s">
        <v>33</v>
      </c>
      <c r="D962" s="14" t="s">
        <v>2210</v>
      </c>
      <c r="E962" s="14" t="s">
        <v>2211</v>
      </c>
      <c r="F962" s="15" t="str">
        <f>CONCATENATE(Tabla1[[#This Row],[NOMBRE_MPIO]]," (",Tabla1[[#This Row],[NOMBRE_DEPTO]],")")</f>
        <v>SUAN (ATLÁNTICO)</v>
      </c>
      <c r="G962" s="19" t="s">
        <v>2211</v>
      </c>
    </row>
    <row r="963" spans="1:7" x14ac:dyDescent="0.15">
      <c r="A963" s="19">
        <v>19</v>
      </c>
      <c r="B963" s="14" t="s">
        <v>109</v>
      </c>
      <c r="C963" s="14" t="s">
        <v>62</v>
      </c>
      <c r="D963" s="14" t="s">
        <v>2212</v>
      </c>
      <c r="E963" s="14" t="s">
        <v>2213</v>
      </c>
      <c r="F963" s="15" t="str">
        <f>CONCATENATE(Tabla1[[#This Row],[NOMBRE_MPIO]]," (",Tabla1[[#This Row],[NOMBRE_DEPTO]],")")</f>
        <v>SUAREZ (CAUCA)</v>
      </c>
      <c r="G963" s="19" t="s">
        <v>2213</v>
      </c>
    </row>
    <row r="964" spans="1:7" x14ac:dyDescent="0.15">
      <c r="A964" s="19">
        <v>73</v>
      </c>
      <c r="B964" s="14" t="s">
        <v>117</v>
      </c>
      <c r="D964" s="14" t="s">
        <v>2214</v>
      </c>
      <c r="E964" s="14" t="s">
        <v>2215</v>
      </c>
      <c r="F964" s="15" t="str">
        <f>CONCATENATE(Tabla1[[#This Row],[NOMBRE_MPIO]]," (",Tabla1[[#This Row],[NOMBRE_DEPTO]],")")</f>
        <v>SUÁREZ (TOLIMA)</v>
      </c>
      <c r="G964" s="19" t="s">
        <v>2215</v>
      </c>
    </row>
    <row r="965" spans="1:7" x14ac:dyDescent="0.15">
      <c r="A965" s="19">
        <v>41</v>
      </c>
      <c r="B965" s="14" t="s">
        <v>32</v>
      </c>
      <c r="D965" s="14" t="s">
        <v>2216</v>
      </c>
      <c r="E965" s="14" t="s">
        <v>2217</v>
      </c>
      <c r="F965" s="15" t="str">
        <f>CONCATENATE(Tabla1[[#This Row],[NOMBRE_MPIO]]," (",Tabla1[[#This Row],[NOMBRE_DEPTO]],")")</f>
        <v>SUAZA (HUILA)</v>
      </c>
      <c r="G965" s="19" t="s">
        <v>2217</v>
      </c>
    </row>
    <row r="966" spans="1:7" x14ac:dyDescent="0.15">
      <c r="A966" s="19">
        <v>25</v>
      </c>
      <c r="B966" s="14" t="s">
        <v>46</v>
      </c>
      <c r="D966" s="14" t="s">
        <v>2218</v>
      </c>
      <c r="E966" s="14" t="s">
        <v>2219</v>
      </c>
      <c r="F966" s="15" t="str">
        <f>CONCATENATE(Tabla1[[#This Row],[NOMBRE_MPIO]]," (",Tabla1[[#This Row],[NOMBRE_DEPTO]],")")</f>
        <v>SUBACHOQUE (CUNDINAMARCA)</v>
      </c>
      <c r="G966" s="19" t="s">
        <v>2219</v>
      </c>
    </row>
    <row r="967" spans="1:7" x14ac:dyDescent="0.15">
      <c r="A967" s="19">
        <v>19</v>
      </c>
      <c r="B967" s="14" t="s">
        <v>109</v>
      </c>
      <c r="C967" s="14" t="s">
        <v>52</v>
      </c>
      <c r="D967" s="14" t="s">
        <v>443</v>
      </c>
      <c r="E967" s="14" t="s">
        <v>2220</v>
      </c>
      <c r="F967" s="15" t="str">
        <f>CONCATENATE(Tabla1[[#This Row],[NOMBRE_MPIO]]," (",Tabla1[[#This Row],[NOMBRE_DEPTO]],")")</f>
        <v>SUCRE (CAUCA)</v>
      </c>
      <c r="G967" s="19" t="s">
        <v>2220</v>
      </c>
    </row>
    <row r="968" spans="1:7" x14ac:dyDescent="0.15">
      <c r="A968" s="19">
        <v>68</v>
      </c>
      <c r="B968" s="14" t="s">
        <v>56</v>
      </c>
      <c r="D968" s="14" t="s">
        <v>443</v>
      </c>
      <c r="E968" s="14" t="s">
        <v>2221</v>
      </c>
      <c r="F968" s="15" t="str">
        <f>CONCATENATE(Tabla1[[#This Row],[NOMBRE_MPIO]]," (",Tabla1[[#This Row],[NOMBRE_DEPTO]],")")</f>
        <v>SUCRE (SANTANDER)</v>
      </c>
      <c r="G968" s="19" t="s">
        <v>2221</v>
      </c>
    </row>
    <row r="969" spans="1:7" x14ac:dyDescent="0.15">
      <c r="A969" s="19">
        <v>70</v>
      </c>
      <c r="B969" s="14" t="s">
        <v>443</v>
      </c>
      <c r="D969" s="14" t="s">
        <v>443</v>
      </c>
      <c r="E969" s="14" t="s">
        <v>2222</v>
      </c>
      <c r="F969" s="15" t="str">
        <f>CONCATENATE(Tabla1[[#This Row],[NOMBRE_MPIO]]," (",Tabla1[[#This Row],[NOMBRE_DEPTO]],")")</f>
        <v>SUCRE (SUCRE)</v>
      </c>
      <c r="G969" s="19" t="s">
        <v>2222</v>
      </c>
    </row>
    <row r="970" spans="1:7" x14ac:dyDescent="0.15">
      <c r="A970" s="19">
        <v>25</v>
      </c>
      <c r="B970" s="14" t="s">
        <v>46</v>
      </c>
      <c r="D970" s="14" t="s">
        <v>2223</v>
      </c>
      <c r="E970" s="14" t="s">
        <v>2224</v>
      </c>
      <c r="F970" s="15" t="str">
        <f>CONCATENATE(Tabla1[[#This Row],[NOMBRE_MPIO]]," (",Tabla1[[#This Row],[NOMBRE_DEPTO]],")")</f>
        <v>SUESCA (CUNDINAMARCA)</v>
      </c>
      <c r="G970" s="19" t="s">
        <v>2224</v>
      </c>
    </row>
    <row r="971" spans="1:7" x14ac:dyDescent="0.15">
      <c r="A971" s="19">
        <v>25</v>
      </c>
      <c r="B971" s="14" t="s">
        <v>46</v>
      </c>
      <c r="D971" s="14" t="s">
        <v>2225</v>
      </c>
      <c r="E971" s="14" t="s">
        <v>2226</v>
      </c>
      <c r="F971" s="15" t="str">
        <f>CONCATENATE(Tabla1[[#This Row],[NOMBRE_MPIO]]," (",Tabla1[[#This Row],[NOMBRE_DEPTO]],")")</f>
        <v>SUPATÁ (CUNDINAMARCA)</v>
      </c>
      <c r="G971" s="19" t="s">
        <v>2226</v>
      </c>
    </row>
    <row r="972" spans="1:7" x14ac:dyDescent="0.15">
      <c r="A972" s="19">
        <v>17</v>
      </c>
      <c r="B972" s="14" t="s">
        <v>61</v>
      </c>
      <c r="C972" s="14" t="s">
        <v>1013</v>
      </c>
      <c r="D972" s="14" t="s">
        <v>2227</v>
      </c>
      <c r="E972" s="14" t="s">
        <v>2228</v>
      </c>
      <c r="F972" s="15" t="str">
        <f>CONCATENATE(Tabla1[[#This Row],[NOMBRE_MPIO]]," (",Tabla1[[#This Row],[NOMBRE_DEPTO]],")")</f>
        <v>SUPÍA (CALDAS)</v>
      </c>
      <c r="G972" s="19" t="s">
        <v>2228</v>
      </c>
    </row>
    <row r="973" spans="1:7" x14ac:dyDescent="0.15">
      <c r="A973" s="19">
        <v>68</v>
      </c>
      <c r="B973" s="14" t="s">
        <v>56</v>
      </c>
      <c r="D973" s="14" t="s">
        <v>2229</v>
      </c>
      <c r="E973" s="14" t="s">
        <v>2230</v>
      </c>
      <c r="F973" s="15" t="str">
        <f>CONCATENATE(Tabla1[[#This Row],[NOMBRE_MPIO]]," (",Tabla1[[#This Row],[NOMBRE_DEPTO]],")")</f>
        <v>SURATA (SANTANDER)</v>
      </c>
      <c r="G973" s="19" t="s">
        <v>2230</v>
      </c>
    </row>
    <row r="974" spans="1:7" x14ac:dyDescent="0.15">
      <c r="A974" s="19">
        <v>25</v>
      </c>
      <c r="B974" s="14" t="s">
        <v>46</v>
      </c>
      <c r="D974" s="14" t="s">
        <v>2231</v>
      </c>
      <c r="E974" s="14" t="s">
        <v>2232</v>
      </c>
      <c r="F974" s="15" t="str">
        <f>CONCATENATE(Tabla1[[#This Row],[NOMBRE_MPIO]]," (",Tabla1[[#This Row],[NOMBRE_DEPTO]],")")</f>
        <v>SUSA (CUNDINAMARCA)</v>
      </c>
      <c r="G974" s="19" t="s">
        <v>2232</v>
      </c>
    </row>
    <row r="975" spans="1:7" x14ac:dyDescent="0.15">
      <c r="A975" s="19">
        <v>15</v>
      </c>
      <c r="B975" s="14" t="s">
        <v>113</v>
      </c>
      <c r="C975" s="14" t="s">
        <v>62</v>
      </c>
      <c r="D975" s="14" t="s">
        <v>2233</v>
      </c>
      <c r="E975" s="14" t="s">
        <v>2234</v>
      </c>
      <c r="F975" s="15" t="str">
        <f>CONCATENATE(Tabla1[[#This Row],[NOMBRE_MPIO]]," (",Tabla1[[#This Row],[NOMBRE_DEPTO]],")")</f>
        <v>SUSACÓN (BOYACÁ)</v>
      </c>
      <c r="G975" s="19" t="s">
        <v>2234</v>
      </c>
    </row>
    <row r="976" spans="1:7" x14ac:dyDescent="0.15">
      <c r="A976" s="19">
        <v>15</v>
      </c>
      <c r="B976" s="14" t="s">
        <v>113</v>
      </c>
      <c r="C976" s="14" t="s">
        <v>232</v>
      </c>
      <c r="D976" s="14" t="s">
        <v>2235</v>
      </c>
      <c r="E976" s="14" t="s">
        <v>2236</v>
      </c>
      <c r="F976" s="15" t="str">
        <f>CONCATENATE(Tabla1[[#This Row],[NOMBRE_MPIO]]," (",Tabla1[[#This Row],[NOMBRE_DEPTO]],")")</f>
        <v>SUTAMARCHÁN (BOYACÁ)</v>
      </c>
      <c r="G976" s="19" t="s">
        <v>2236</v>
      </c>
    </row>
    <row r="977" spans="1:7" x14ac:dyDescent="0.15">
      <c r="A977" s="19">
        <v>25</v>
      </c>
      <c r="B977" s="14" t="s">
        <v>46</v>
      </c>
      <c r="D977" s="14" t="s">
        <v>2237</v>
      </c>
      <c r="E977" s="14" t="s">
        <v>2238</v>
      </c>
      <c r="F977" s="15" t="str">
        <f>CONCATENATE(Tabla1[[#This Row],[NOMBRE_MPIO]]," (",Tabla1[[#This Row],[NOMBRE_DEPTO]],")")</f>
        <v>SUTATAUSA (CUNDINAMARCA)</v>
      </c>
      <c r="G977" s="19" t="s">
        <v>2238</v>
      </c>
    </row>
    <row r="978" spans="1:7" x14ac:dyDescent="0.15">
      <c r="A978" s="19">
        <v>15</v>
      </c>
      <c r="B978" s="14" t="s">
        <v>113</v>
      </c>
      <c r="C978" s="14" t="s">
        <v>10</v>
      </c>
      <c r="D978" s="14" t="s">
        <v>2239</v>
      </c>
      <c r="E978" s="14" t="s">
        <v>2240</v>
      </c>
      <c r="F978" s="15" t="str">
        <f>CONCATENATE(Tabla1[[#This Row],[NOMBRE_MPIO]]," (",Tabla1[[#This Row],[NOMBRE_DEPTO]],")")</f>
        <v>SUTATENZA (BOYACÁ)</v>
      </c>
      <c r="G978" s="19" t="s">
        <v>2240</v>
      </c>
    </row>
    <row r="979" spans="1:7" x14ac:dyDescent="0.15">
      <c r="A979" s="19">
        <v>25</v>
      </c>
      <c r="B979" s="14" t="s">
        <v>46</v>
      </c>
      <c r="D979" s="14" t="s">
        <v>2241</v>
      </c>
      <c r="E979" s="14" t="s">
        <v>2242</v>
      </c>
      <c r="F979" s="15" t="str">
        <f>CONCATENATE(Tabla1[[#This Row],[NOMBRE_MPIO]]," (",Tabla1[[#This Row],[NOMBRE_DEPTO]],")")</f>
        <v>TABIO (CUNDINAMARCA)</v>
      </c>
      <c r="G979" s="19" t="s">
        <v>2242</v>
      </c>
    </row>
    <row r="980" spans="1:7" x14ac:dyDescent="0.15">
      <c r="A980" s="19">
        <v>27</v>
      </c>
      <c r="B980" s="14" t="s">
        <v>27</v>
      </c>
      <c r="D980" s="14" t="s">
        <v>2243</v>
      </c>
      <c r="E980" s="14" t="s">
        <v>2244</v>
      </c>
      <c r="F980" s="15" t="str">
        <f>CONCATENATE(Tabla1[[#This Row],[NOMBRE_MPIO]]," (",Tabla1[[#This Row],[NOMBRE_DEPTO]],")")</f>
        <v>TADÓ (CHOCO)</v>
      </c>
      <c r="G980" s="19" t="s">
        <v>2244</v>
      </c>
    </row>
    <row r="981" spans="1:7" x14ac:dyDescent="0.15">
      <c r="A981" s="19">
        <v>13</v>
      </c>
      <c r="B981" s="14" t="s">
        <v>37</v>
      </c>
      <c r="C981" s="14" t="s">
        <v>751</v>
      </c>
      <c r="D981" s="14" t="s">
        <v>2245</v>
      </c>
      <c r="E981" s="14" t="s">
        <v>2246</v>
      </c>
      <c r="F981" s="15" t="str">
        <f>CONCATENATE(Tabla1[[#This Row],[NOMBRE_MPIO]]," (",Tabla1[[#This Row],[NOMBRE_DEPTO]],")")</f>
        <v>TALAIGUA NUEVO (BOLIVAR)</v>
      </c>
      <c r="G981" s="19" t="s">
        <v>2246</v>
      </c>
    </row>
    <row r="982" spans="1:7" x14ac:dyDescent="0.15">
      <c r="A982" s="19">
        <v>20</v>
      </c>
      <c r="B982" s="14" t="s">
        <v>51</v>
      </c>
      <c r="C982" s="14" t="s">
        <v>337</v>
      </c>
      <c r="D982" s="14" t="s">
        <v>2247</v>
      </c>
      <c r="E982" s="14" t="s">
        <v>2248</v>
      </c>
      <c r="F982" s="15" t="str">
        <f>CONCATENATE(Tabla1[[#This Row],[NOMBRE_MPIO]]," (",Tabla1[[#This Row],[NOMBRE_DEPTO]],")")</f>
        <v>TAMALAMEQUE (CESAR)</v>
      </c>
      <c r="G982" s="19" t="s">
        <v>2248</v>
      </c>
    </row>
    <row r="983" spans="1:7" x14ac:dyDescent="0.15">
      <c r="A983" s="19">
        <v>85</v>
      </c>
      <c r="B983" s="14" t="s">
        <v>66</v>
      </c>
      <c r="C983" s="14" t="s">
        <v>66</v>
      </c>
      <c r="D983" s="14" t="s">
        <v>2249</v>
      </c>
      <c r="E983" s="14" t="s">
        <v>2250</v>
      </c>
      <c r="F983" s="15" t="str">
        <f>CONCATENATE(Tabla1[[#This Row],[NOMBRE_MPIO]]," (",Tabla1[[#This Row],[NOMBRE_DEPTO]],")")</f>
        <v>TÁMARA (CASANARE)</v>
      </c>
      <c r="G983" s="19" t="s">
        <v>2250</v>
      </c>
    </row>
    <row r="984" spans="1:7" x14ac:dyDescent="0.15">
      <c r="A984" s="19">
        <v>81</v>
      </c>
      <c r="B984" s="14" t="s">
        <v>213</v>
      </c>
      <c r="C984" s="14" t="s">
        <v>213</v>
      </c>
      <c r="D984" s="14" t="s">
        <v>2251</v>
      </c>
      <c r="E984" s="14" t="s">
        <v>2252</v>
      </c>
      <c r="F984" s="15" t="str">
        <f>CONCATENATE(Tabla1[[#This Row],[NOMBRE_MPIO]]," (",Tabla1[[#This Row],[NOMBRE_DEPTO]],")")</f>
        <v>TAME (ARAUCA)</v>
      </c>
      <c r="G984" s="19" t="s">
        <v>2252</v>
      </c>
    </row>
    <row r="985" spans="1:7" x14ac:dyDescent="0.15">
      <c r="A985" s="19">
        <v>5</v>
      </c>
      <c r="B985" s="14" t="s">
        <v>9</v>
      </c>
      <c r="C985" s="14" t="s">
        <v>137</v>
      </c>
      <c r="D985" s="14" t="s">
        <v>2253</v>
      </c>
      <c r="E985" s="14" t="s">
        <v>2254</v>
      </c>
      <c r="F985" s="15" t="str">
        <f>CONCATENATE(Tabla1[[#This Row],[NOMBRE_MPIO]]," (",Tabla1[[#This Row],[NOMBRE_DEPTO]],")")</f>
        <v>TÁMESIS (ANTIOQUIA)</v>
      </c>
      <c r="G985" s="19" t="s">
        <v>2254</v>
      </c>
    </row>
    <row r="986" spans="1:7" x14ac:dyDescent="0.15">
      <c r="A986" s="19">
        <v>52</v>
      </c>
      <c r="B986" s="14" t="s">
        <v>80</v>
      </c>
      <c r="D986" s="14" t="s">
        <v>2255</v>
      </c>
      <c r="E986" s="14" t="s">
        <v>2256</v>
      </c>
      <c r="F986" s="15" t="str">
        <f>CONCATENATE(Tabla1[[#This Row],[NOMBRE_MPIO]]," (",Tabla1[[#This Row],[NOMBRE_DEPTO]],")")</f>
        <v>TAMINANGO (NARIÑO)</v>
      </c>
      <c r="G986" s="19" t="s">
        <v>2256</v>
      </c>
    </row>
    <row r="987" spans="1:7" x14ac:dyDescent="0.15">
      <c r="A987" s="19">
        <v>52</v>
      </c>
      <c r="B987" s="14" t="s">
        <v>80</v>
      </c>
      <c r="D987" s="14" t="s">
        <v>2257</v>
      </c>
      <c r="E987" s="14" t="s">
        <v>2258</v>
      </c>
      <c r="F987" s="15" t="str">
        <f>CONCATENATE(Tabla1[[#This Row],[NOMBRE_MPIO]]," (",Tabla1[[#This Row],[NOMBRE_DEPTO]],")")</f>
        <v>TANGUA (NARIÑO)</v>
      </c>
      <c r="G987" s="19" t="s">
        <v>2258</v>
      </c>
    </row>
    <row r="988" spans="1:7" x14ac:dyDescent="0.15">
      <c r="A988" s="19">
        <v>97</v>
      </c>
      <c r="B988" s="14" t="s">
        <v>622</v>
      </c>
      <c r="D988" s="14" t="s">
        <v>2259</v>
      </c>
      <c r="E988" s="14" t="s">
        <v>2260</v>
      </c>
      <c r="F988" s="15" t="str">
        <f>CONCATENATE(Tabla1[[#This Row],[NOMBRE_MPIO]]," (",Tabla1[[#This Row],[NOMBRE_DEPTO]],")")</f>
        <v>TARAIRA (VAUPES)</v>
      </c>
      <c r="G988" s="19" t="s">
        <v>2260</v>
      </c>
    </row>
    <row r="989" spans="1:7" x14ac:dyDescent="0.15">
      <c r="A989" s="19">
        <v>91</v>
      </c>
      <c r="B989" s="14" t="s">
        <v>950</v>
      </c>
      <c r="C989" s="14" t="s">
        <v>950</v>
      </c>
      <c r="D989" s="14" t="s">
        <v>2261</v>
      </c>
      <c r="E989" s="14" t="s">
        <v>2262</v>
      </c>
      <c r="F989" s="15" t="str">
        <f>CONCATENATE(Tabla1[[#This Row],[NOMBRE_MPIO]]," (",Tabla1[[#This Row],[NOMBRE_DEPTO]],")")</f>
        <v>TARAPACÁ (AMAZONAS)</v>
      </c>
      <c r="G989" s="19" t="s">
        <v>2262</v>
      </c>
    </row>
    <row r="990" spans="1:7" x14ac:dyDescent="0.15">
      <c r="A990" s="19">
        <v>5</v>
      </c>
      <c r="B990" s="14" t="s">
        <v>9</v>
      </c>
      <c r="C990" s="14" t="s">
        <v>477</v>
      </c>
      <c r="D990" s="14" t="s">
        <v>2263</v>
      </c>
      <c r="E990" s="14" t="s">
        <v>2264</v>
      </c>
      <c r="F990" s="15" t="str">
        <f>CONCATENATE(Tabla1[[#This Row],[NOMBRE_MPIO]]," (",Tabla1[[#This Row],[NOMBRE_DEPTO]],")")</f>
        <v>TARAZÁ (ANTIOQUIA)</v>
      </c>
      <c r="G990" s="19" t="s">
        <v>2264</v>
      </c>
    </row>
    <row r="991" spans="1:7" x14ac:dyDescent="0.15">
      <c r="A991" s="19">
        <v>41</v>
      </c>
      <c r="B991" s="14" t="s">
        <v>32</v>
      </c>
      <c r="D991" s="14" t="s">
        <v>2265</v>
      </c>
      <c r="E991" s="14" t="s">
        <v>2266</v>
      </c>
      <c r="F991" s="15" t="str">
        <f>CONCATENATE(Tabla1[[#This Row],[NOMBRE_MPIO]]," (",Tabla1[[#This Row],[NOMBRE_DEPTO]],")")</f>
        <v>TARQUI (HUILA)</v>
      </c>
      <c r="G991" s="19" t="s">
        <v>2266</v>
      </c>
    </row>
    <row r="992" spans="1:7" x14ac:dyDescent="0.15">
      <c r="A992" s="19">
        <v>5</v>
      </c>
      <c r="B992" s="14" t="s">
        <v>9</v>
      </c>
      <c r="C992" s="14" t="s">
        <v>137</v>
      </c>
      <c r="D992" s="14" t="s">
        <v>2267</v>
      </c>
      <c r="E992" s="14" t="s">
        <v>2268</v>
      </c>
      <c r="F992" s="15" t="str">
        <f>CONCATENATE(Tabla1[[#This Row],[NOMBRE_MPIO]]," (",Tabla1[[#This Row],[NOMBRE_DEPTO]],")")</f>
        <v>TARSO (ANTIOQUIA)</v>
      </c>
      <c r="G992" s="19" t="s">
        <v>2268</v>
      </c>
    </row>
    <row r="993" spans="1:7" x14ac:dyDescent="0.15">
      <c r="A993" s="19">
        <v>15</v>
      </c>
      <c r="B993" s="14" t="s">
        <v>113</v>
      </c>
      <c r="C993" s="14" t="s">
        <v>377</v>
      </c>
      <c r="D993" s="14" t="s">
        <v>2269</v>
      </c>
      <c r="E993" s="14" t="s">
        <v>2270</v>
      </c>
      <c r="F993" s="15" t="str">
        <f>CONCATENATE(Tabla1[[#This Row],[NOMBRE_MPIO]]," (",Tabla1[[#This Row],[NOMBRE_DEPTO]],")")</f>
        <v>TASCO (BOYACÁ)</v>
      </c>
      <c r="G993" s="19" t="s">
        <v>2270</v>
      </c>
    </row>
    <row r="994" spans="1:7" x14ac:dyDescent="0.15">
      <c r="A994" s="19">
        <v>85</v>
      </c>
      <c r="B994" s="14" t="s">
        <v>66</v>
      </c>
      <c r="C994" s="14" t="s">
        <v>66</v>
      </c>
      <c r="D994" s="14" t="s">
        <v>2271</v>
      </c>
      <c r="E994" s="14" t="s">
        <v>2272</v>
      </c>
      <c r="F994" s="15" t="str">
        <f>CONCATENATE(Tabla1[[#This Row],[NOMBRE_MPIO]]," (",Tabla1[[#This Row],[NOMBRE_DEPTO]],")")</f>
        <v>TAURAMENA (CASANARE)</v>
      </c>
      <c r="G994" s="19" t="s">
        <v>2272</v>
      </c>
    </row>
    <row r="995" spans="1:7" x14ac:dyDescent="0.15">
      <c r="A995" s="19">
        <v>25</v>
      </c>
      <c r="B995" s="14" t="s">
        <v>46</v>
      </c>
      <c r="D995" s="14" t="s">
        <v>2273</v>
      </c>
      <c r="E995" s="14" t="s">
        <v>2274</v>
      </c>
      <c r="F995" s="15" t="str">
        <f>CONCATENATE(Tabla1[[#This Row],[NOMBRE_MPIO]]," (",Tabla1[[#This Row],[NOMBRE_DEPTO]],")")</f>
        <v>TAUSA (CUNDINAMARCA)</v>
      </c>
      <c r="G995" s="19" t="s">
        <v>2274</v>
      </c>
    </row>
    <row r="996" spans="1:7" x14ac:dyDescent="0.15">
      <c r="A996" s="19">
        <v>41</v>
      </c>
      <c r="B996" s="14" t="s">
        <v>32</v>
      </c>
      <c r="D996" s="14" t="s">
        <v>2275</v>
      </c>
      <c r="E996" s="14" t="s">
        <v>2276</v>
      </c>
      <c r="F996" s="15" t="str">
        <f>CONCATENATE(Tabla1[[#This Row],[NOMBRE_MPIO]]," (",Tabla1[[#This Row],[NOMBRE_DEPTO]],")")</f>
        <v>TELLO (HUILA)</v>
      </c>
      <c r="G996" s="19" t="s">
        <v>2276</v>
      </c>
    </row>
    <row r="997" spans="1:7" x14ac:dyDescent="0.15">
      <c r="A997" s="19">
        <v>25</v>
      </c>
      <c r="B997" s="14" t="s">
        <v>46</v>
      </c>
      <c r="D997" s="14" t="s">
        <v>2277</v>
      </c>
      <c r="E997" s="14" t="s">
        <v>2278</v>
      </c>
      <c r="F997" s="15" t="str">
        <f>CONCATENATE(Tabla1[[#This Row],[NOMBRE_MPIO]]," (",Tabla1[[#This Row],[NOMBRE_DEPTO]],")")</f>
        <v>TENA (CUNDINAMARCA)</v>
      </c>
      <c r="G997" s="19" t="s">
        <v>2278</v>
      </c>
    </row>
    <row r="998" spans="1:7" x14ac:dyDescent="0.15">
      <c r="A998" s="19">
        <v>47</v>
      </c>
      <c r="B998" s="14" t="s">
        <v>102</v>
      </c>
      <c r="D998" s="14" t="s">
        <v>2279</v>
      </c>
      <c r="E998" s="14" t="s">
        <v>2280</v>
      </c>
      <c r="F998" s="15" t="str">
        <f>CONCATENATE(Tabla1[[#This Row],[NOMBRE_MPIO]]," (",Tabla1[[#This Row],[NOMBRE_DEPTO]],")")</f>
        <v>TENERIFE (MAGDALENA)</v>
      </c>
      <c r="G998" s="19" t="s">
        <v>2280</v>
      </c>
    </row>
    <row r="999" spans="1:7" x14ac:dyDescent="0.15">
      <c r="A999" s="19">
        <v>25</v>
      </c>
      <c r="B999" s="14" t="s">
        <v>46</v>
      </c>
      <c r="D999" s="14" t="s">
        <v>2281</v>
      </c>
      <c r="E999" s="14" t="s">
        <v>2282</v>
      </c>
      <c r="F999" s="15" t="str">
        <f>CONCATENATE(Tabla1[[#This Row],[NOMBRE_MPIO]]," (",Tabla1[[#This Row],[NOMBRE_DEPTO]],")")</f>
        <v>TENJO (CUNDINAMARCA)</v>
      </c>
      <c r="G999" s="19" t="s">
        <v>2282</v>
      </c>
    </row>
    <row r="1000" spans="1:7" x14ac:dyDescent="0.15">
      <c r="A1000" s="19">
        <v>15</v>
      </c>
      <c r="B1000" s="14" t="s">
        <v>113</v>
      </c>
      <c r="C1000" s="14" t="s">
        <v>10</v>
      </c>
      <c r="D1000" s="14" t="s">
        <v>2283</v>
      </c>
      <c r="E1000" s="14" t="s">
        <v>2284</v>
      </c>
      <c r="F1000" s="15" t="str">
        <f>CONCATENATE(Tabla1[[#This Row],[NOMBRE_MPIO]]," (",Tabla1[[#This Row],[NOMBRE_DEPTO]],")")</f>
        <v>TENZA (BOYACÁ)</v>
      </c>
      <c r="G1000" s="19" t="s">
        <v>2284</v>
      </c>
    </row>
    <row r="1001" spans="1:7" x14ac:dyDescent="0.15">
      <c r="A1001" s="19">
        <v>54</v>
      </c>
      <c r="B1001" s="14" t="s">
        <v>14</v>
      </c>
      <c r="D1001" s="14" t="s">
        <v>2285</v>
      </c>
      <c r="E1001" s="14" t="s">
        <v>2286</v>
      </c>
      <c r="F1001" s="15" t="str">
        <f>CONCATENATE(Tabla1[[#This Row],[NOMBRE_MPIO]]," (",Tabla1[[#This Row],[NOMBRE_DEPTO]],")")</f>
        <v>TEORAMA (NORTE DE SANTANDER)</v>
      </c>
      <c r="G1001" s="19" t="s">
        <v>2286</v>
      </c>
    </row>
    <row r="1002" spans="1:7" x14ac:dyDescent="0.15">
      <c r="A1002" s="19">
        <v>41</v>
      </c>
      <c r="B1002" s="14" t="s">
        <v>32</v>
      </c>
      <c r="D1002" s="14" t="s">
        <v>2287</v>
      </c>
      <c r="E1002" s="14" t="s">
        <v>2288</v>
      </c>
      <c r="F1002" s="15" t="str">
        <f>CONCATENATE(Tabla1[[#This Row],[NOMBRE_MPIO]]," (",Tabla1[[#This Row],[NOMBRE_DEPTO]],")")</f>
        <v>TERUEL (HUILA)</v>
      </c>
      <c r="G1002" s="19" t="s">
        <v>2288</v>
      </c>
    </row>
    <row r="1003" spans="1:7" x14ac:dyDescent="0.15">
      <c r="A1003" s="19">
        <v>41</v>
      </c>
      <c r="B1003" s="14" t="s">
        <v>32</v>
      </c>
      <c r="D1003" s="14" t="s">
        <v>2289</v>
      </c>
      <c r="E1003" s="14" t="s">
        <v>2290</v>
      </c>
      <c r="F1003" s="15" t="str">
        <f>CONCATENATE(Tabla1[[#This Row],[NOMBRE_MPIO]]," (",Tabla1[[#This Row],[NOMBRE_DEPTO]],")")</f>
        <v>TESALIA (HUILA)</v>
      </c>
      <c r="G1003" s="19" t="s">
        <v>2290</v>
      </c>
    </row>
    <row r="1004" spans="1:7" x14ac:dyDescent="0.15">
      <c r="A1004" s="19">
        <v>25</v>
      </c>
      <c r="B1004" s="14" t="s">
        <v>46</v>
      </c>
      <c r="D1004" s="14" t="s">
        <v>2291</v>
      </c>
      <c r="E1004" s="14" t="s">
        <v>2292</v>
      </c>
      <c r="F1004" s="15" t="str">
        <f>CONCATENATE(Tabla1[[#This Row],[NOMBRE_MPIO]]," (",Tabla1[[#This Row],[NOMBRE_DEPTO]],")")</f>
        <v>TIBACUY (CUNDINAMARCA)</v>
      </c>
      <c r="G1004" s="19" t="s">
        <v>2292</v>
      </c>
    </row>
    <row r="1005" spans="1:7" x14ac:dyDescent="0.15">
      <c r="A1005" s="19">
        <v>15</v>
      </c>
      <c r="B1005" s="14" t="s">
        <v>113</v>
      </c>
      <c r="C1005" s="14" t="s">
        <v>418</v>
      </c>
      <c r="D1005" s="14" t="s">
        <v>2293</v>
      </c>
      <c r="E1005" s="14" t="s">
        <v>2294</v>
      </c>
      <c r="F1005" s="15" t="str">
        <f>CONCATENATE(Tabla1[[#This Row],[NOMBRE_MPIO]]," (",Tabla1[[#This Row],[NOMBRE_DEPTO]],")")</f>
        <v>TIBANÁ (BOYACÁ)</v>
      </c>
      <c r="G1005" s="19" t="s">
        <v>2294</v>
      </c>
    </row>
    <row r="1006" spans="1:7" x14ac:dyDescent="0.15">
      <c r="A1006" s="19">
        <v>15</v>
      </c>
      <c r="B1006" s="14" t="s">
        <v>113</v>
      </c>
      <c r="C1006" s="14" t="s">
        <v>199</v>
      </c>
      <c r="D1006" s="14" t="s">
        <v>2295</v>
      </c>
      <c r="E1006" s="14" t="s">
        <v>2296</v>
      </c>
      <c r="F1006" s="15" t="str">
        <f>CONCATENATE(Tabla1[[#This Row],[NOMBRE_MPIO]]," (",Tabla1[[#This Row],[NOMBRE_DEPTO]],")")</f>
        <v>TIBASOSA (BOYACÁ)</v>
      </c>
      <c r="G1006" s="19" t="s">
        <v>2296</v>
      </c>
    </row>
    <row r="1007" spans="1:7" x14ac:dyDescent="0.15">
      <c r="A1007" s="19">
        <v>25</v>
      </c>
      <c r="B1007" s="14" t="s">
        <v>46</v>
      </c>
      <c r="D1007" s="14" t="s">
        <v>2297</v>
      </c>
      <c r="E1007" s="14" t="s">
        <v>2298</v>
      </c>
      <c r="F1007" s="15" t="str">
        <f>CONCATENATE(Tabla1[[#This Row],[NOMBRE_MPIO]]," (",Tabla1[[#This Row],[NOMBRE_DEPTO]],")")</f>
        <v>TIBIRITA (CUNDINAMARCA)</v>
      </c>
      <c r="G1007" s="19" t="s">
        <v>2298</v>
      </c>
    </row>
    <row r="1008" spans="1:7" x14ac:dyDescent="0.15">
      <c r="A1008" s="19">
        <v>54</v>
      </c>
      <c r="B1008" s="14" t="s">
        <v>14</v>
      </c>
      <c r="D1008" s="14" t="s">
        <v>2299</v>
      </c>
      <c r="E1008" s="14" t="s">
        <v>2300</v>
      </c>
      <c r="F1008" s="15" t="str">
        <f>CONCATENATE(Tabla1[[#This Row],[NOMBRE_MPIO]]," (",Tabla1[[#This Row],[NOMBRE_DEPTO]],")")</f>
        <v>TIBÚ (NORTE DE SANTANDER)</v>
      </c>
      <c r="G1008" s="19" t="s">
        <v>2300</v>
      </c>
    </row>
    <row r="1009" spans="1:7" x14ac:dyDescent="0.15">
      <c r="A1009" s="19">
        <v>23</v>
      </c>
      <c r="B1009" s="14" t="s">
        <v>276</v>
      </c>
      <c r="C1009" s="14" t="s">
        <v>2301</v>
      </c>
      <c r="D1009" s="14" t="s">
        <v>2302</v>
      </c>
      <c r="E1009" s="14" t="s">
        <v>2303</v>
      </c>
      <c r="F1009" s="15" t="str">
        <f>CONCATENATE(Tabla1[[#This Row],[NOMBRE_MPIO]]," (",Tabla1[[#This Row],[NOMBRE_DEPTO]],")")</f>
        <v>TIERRALTA (CORDOBA)</v>
      </c>
      <c r="G1009" s="19" t="s">
        <v>2303</v>
      </c>
    </row>
    <row r="1010" spans="1:7" x14ac:dyDescent="0.15">
      <c r="A1010" s="19">
        <v>41</v>
      </c>
      <c r="B1010" s="14" t="s">
        <v>32</v>
      </c>
      <c r="D1010" s="14" t="s">
        <v>2304</v>
      </c>
      <c r="E1010" s="14" t="s">
        <v>2305</v>
      </c>
      <c r="F1010" s="15" t="str">
        <f>CONCATENATE(Tabla1[[#This Row],[NOMBRE_MPIO]]," (",Tabla1[[#This Row],[NOMBRE_DEPTO]],")")</f>
        <v>TIMANÁ (HUILA)</v>
      </c>
      <c r="G1010" s="19" t="s">
        <v>2305</v>
      </c>
    </row>
    <row r="1011" spans="1:7" x14ac:dyDescent="0.15">
      <c r="A1011" s="19">
        <v>19</v>
      </c>
      <c r="B1011" s="14" t="s">
        <v>109</v>
      </c>
      <c r="C1011" s="14" t="s">
        <v>42</v>
      </c>
      <c r="D1011" s="14" t="s">
        <v>2306</v>
      </c>
      <c r="E1011" s="14" t="s">
        <v>2307</v>
      </c>
      <c r="F1011" s="15" t="str">
        <f>CONCATENATE(Tabla1[[#This Row],[NOMBRE_MPIO]]," (",Tabla1[[#This Row],[NOMBRE_DEPTO]],")")</f>
        <v>TIMBIO (CAUCA)</v>
      </c>
      <c r="G1011" s="19" t="s">
        <v>2307</v>
      </c>
    </row>
    <row r="1012" spans="1:7" x14ac:dyDescent="0.15">
      <c r="A1012" s="19">
        <v>19</v>
      </c>
      <c r="B1012" s="14" t="s">
        <v>109</v>
      </c>
      <c r="C1012" s="14" t="s">
        <v>15</v>
      </c>
      <c r="D1012" s="14" t="s">
        <v>2308</v>
      </c>
      <c r="E1012" s="14" t="s">
        <v>2309</v>
      </c>
      <c r="F1012" s="15" t="str">
        <f>CONCATENATE(Tabla1[[#This Row],[NOMBRE_MPIO]]," (",Tabla1[[#This Row],[NOMBRE_DEPTO]],")")</f>
        <v>TIMBIQUI (CAUCA)</v>
      </c>
      <c r="G1012" s="19" t="s">
        <v>2309</v>
      </c>
    </row>
    <row r="1013" spans="1:7" x14ac:dyDescent="0.15">
      <c r="A1013" s="19">
        <v>15</v>
      </c>
      <c r="B1013" s="14" t="s">
        <v>113</v>
      </c>
      <c r="C1013" s="14" t="s">
        <v>232</v>
      </c>
      <c r="D1013" s="14" t="s">
        <v>2310</v>
      </c>
      <c r="E1013" s="14" t="s">
        <v>2311</v>
      </c>
      <c r="F1013" s="15" t="str">
        <f>CONCATENATE(Tabla1[[#This Row],[NOMBRE_MPIO]]," (",Tabla1[[#This Row],[NOMBRE_DEPTO]],")")</f>
        <v>TINJACÁ (BOYACÁ)</v>
      </c>
      <c r="G1013" s="19" t="s">
        <v>2311</v>
      </c>
    </row>
    <row r="1014" spans="1:7" x14ac:dyDescent="0.15">
      <c r="A1014" s="19">
        <v>15</v>
      </c>
      <c r="B1014" s="14" t="s">
        <v>113</v>
      </c>
      <c r="C1014" s="14" t="s">
        <v>62</v>
      </c>
      <c r="D1014" s="14" t="s">
        <v>2312</v>
      </c>
      <c r="E1014" s="14" t="s">
        <v>2313</v>
      </c>
      <c r="F1014" s="15" t="str">
        <f>CONCATENATE(Tabla1[[#This Row],[NOMBRE_MPIO]]," (",Tabla1[[#This Row],[NOMBRE_DEPTO]],")")</f>
        <v>TIPACOQUE (BOYACÁ)</v>
      </c>
      <c r="G1014" s="19" t="s">
        <v>2313</v>
      </c>
    </row>
    <row r="1015" spans="1:7" x14ac:dyDescent="0.15">
      <c r="A1015" s="19">
        <v>13</v>
      </c>
      <c r="B1015" s="14" t="s">
        <v>37</v>
      </c>
      <c r="C1015" s="14" t="s">
        <v>38</v>
      </c>
      <c r="D1015" s="14" t="s">
        <v>2314</v>
      </c>
      <c r="E1015" s="14" t="s">
        <v>2315</v>
      </c>
      <c r="F1015" s="15" t="str">
        <f>CONCATENATE(Tabla1[[#This Row],[NOMBRE_MPIO]]," (",Tabla1[[#This Row],[NOMBRE_DEPTO]],")")</f>
        <v>TIQUISIO (BOLIVAR)</v>
      </c>
      <c r="G1015" s="19" t="s">
        <v>2315</v>
      </c>
    </row>
    <row r="1016" spans="1:7" x14ac:dyDescent="0.15">
      <c r="A1016" s="19">
        <v>5</v>
      </c>
      <c r="B1016" s="14" t="s">
        <v>9</v>
      </c>
      <c r="C1016" s="14" t="s">
        <v>137</v>
      </c>
      <c r="D1016" s="14" t="s">
        <v>2316</v>
      </c>
      <c r="E1016" s="14" t="s">
        <v>2317</v>
      </c>
      <c r="F1016" s="15" t="str">
        <f>CONCATENATE(Tabla1[[#This Row],[NOMBRE_MPIO]]," (",Tabla1[[#This Row],[NOMBRE_DEPTO]],")")</f>
        <v>TITIRIBÍ (ANTIOQUIA)</v>
      </c>
      <c r="G1016" s="19" t="s">
        <v>2317</v>
      </c>
    </row>
    <row r="1017" spans="1:7" x14ac:dyDescent="0.15">
      <c r="A1017" s="19">
        <v>15</v>
      </c>
      <c r="B1017" s="14" t="s">
        <v>113</v>
      </c>
      <c r="C1017" s="14" t="s">
        <v>42</v>
      </c>
      <c r="D1017" s="14" t="s">
        <v>2318</v>
      </c>
      <c r="E1017" s="14" t="s">
        <v>2319</v>
      </c>
      <c r="F1017" s="15" t="str">
        <f>CONCATENATE(Tabla1[[#This Row],[NOMBRE_MPIO]]," (",Tabla1[[#This Row],[NOMBRE_DEPTO]],")")</f>
        <v>TOCA (BOYACÁ)</v>
      </c>
      <c r="G1017" s="19" t="s">
        <v>2319</v>
      </c>
    </row>
    <row r="1018" spans="1:7" x14ac:dyDescent="0.15">
      <c r="A1018" s="19">
        <v>25</v>
      </c>
      <c r="B1018" s="14" t="s">
        <v>46</v>
      </c>
      <c r="D1018" s="14" t="s">
        <v>2320</v>
      </c>
      <c r="E1018" s="14" t="s">
        <v>2321</v>
      </c>
      <c r="F1018" s="15" t="str">
        <f>CONCATENATE(Tabla1[[#This Row],[NOMBRE_MPIO]]," (",Tabla1[[#This Row],[NOMBRE_DEPTO]],")")</f>
        <v>TOCAIMA (CUNDINAMARCA)</v>
      </c>
      <c r="G1018" s="19" t="s">
        <v>2321</v>
      </c>
    </row>
    <row r="1019" spans="1:7" x14ac:dyDescent="0.15">
      <c r="A1019" s="19">
        <v>25</v>
      </c>
      <c r="B1019" s="14" t="s">
        <v>46</v>
      </c>
      <c r="D1019" s="14" t="s">
        <v>2322</v>
      </c>
      <c r="E1019" s="14" t="s">
        <v>2323</v>
      </c>
      <c r="F1019" s="15" t="str">
        <f>CONCATENATE(Tabla1[[#This Row],[NOMBRE_MPIO]]," (",Tabla1[[#This Row],[NOMBRE_DEPTO]],")")</f>
        <v>TOCANCIPÁ (CUNDINAMARCA)</v>
      </c>
      <c r="G1019" s="19" t="s">
        <v>2323</v>
      </c>
    </row>
    <row r="1020" spans="1:7" x14ac:dyDescent="0.15">
      <c r="A1020" s="19">
        <v>15</v>
      </c>
      <c r="B1020" s="14" t="s">
        <v>113</v>
      </c>
      <c r="C1020" s="14" t="s">
        <v>232</v>
      </c>
      <c r="D1020" s="14" t="s">
        <v>2324</v>
      </c>
      <c r="E1020" s="14" t="s">
        <v>2325</v>
      </c>
      <c r="F1020" s="15" t="str">
        <f>CONCATENATE(Tabla1[[#This Row],[NOMBRE_MPIO]]," (",Tabla1[[#This Row],[NOMBRE_DEPTO]],")")</f>
        <v>TOGÜÍ (BOYACÁ)</v>
      </c>
      <c r="G1020" s="19" t="s">
        <v>2325</v>
      </c>
    </row>
    <row r="1021" spans="1:7" x14ac:dyDescent="0.15">
      <c r="A1021" s="19">
        <v>5</v>
      </c>
      <c r="B1021" s="14" t="s">
        <v>9</v>
      </c>
      <c r="C1021" s="14" t="s">
        <v>62</v>
      </c>
      <c r="D1021" s="14" t="s">
        <v>2326</v>
      </c>
      <c r="E1021" s="14" t="s">
        <v>2327</v>
      </c>
      <c r="F1021" s="15" t="str">
        <f>CONCATENATE(Tabla1[[#This Row],[NOMBRE_MPIO]]," (",Tabla1[[#This Row],[NOMBRE_DEPTO]],")")</f>
        <v>TOLEDO (ANTIOQUIA)</v>
      </c>
      <c r="G1021" s="19" t="s">
        <v>2327</v>
      </c>
    </row>
    <row r="1022" spans="1:7" x14ac:dyDescent="0.15">
      <c r="A1022" s="19">
        <v>54</v>
      </c>
      <c r="B1022" s="14" t="s">
        <v>14</v>
      </c>
      <c r="D1022" s="14" t="s">
        <v>2326</v>
      </c>
      <c r="E1022" s="14" t="s">
        <v>2328</v>
      </c>
      <c r="F1022" s="15" t="str">
        <f>CONCATENATE(Tabla1[[#This Row],[NOMBRE_MPIO]]," (",Tabla1[[#This Row],[NOMBRE_DEPTO]],")")</f>
        <v>TOLEDO (NORTE DE SANTANDER)</v>
      </c>
      <c r="G1022" s="19" t="s">
        <v>2328</v>
      </c>
    </row>
    <row r="1023" spans="1:7" x14ac:dyDescent="0.15">
      <c r="A1023" s="19">
        <v>70</v>
      </c>
      <c r="B1023" s="14" t="s">
        <v>443</v>
      </c>
      <c r="D1023" s="14" t="s">
        <v>2329</v>
      </c>
      <c r="E1023" s="14" t="s">
        <v>2330</v>
      </c>
      <c r="F1023" s="15" t="str">
        <f>CONCATENATE(Tabla1[[#This Row],[NOMBRE_MPIO]]," (",Tabla1[[#This Row],[NOMBRE_DEPTO]],")")</f>
        <v>TOLÚ VIEJO (SUCRE)</v>
      </c>
      <c r="G1023" s="19" t="s">
        <v>2330</v>
      </c>
    </row>
    <row r="1024" spans="1:7" x14ac:dyDescent="0.15">
      <c r="A1024" s="19">
        <v>68</v>
      </c>
      <c r="B1024" s="14" t="s">
        <v>56</v>
      </c>
      <c r="D1024" s="14" t="s">
        <v>2331</v>
      </c>
      <c r="E1024" s="14" t="s">
        <v>2332</v>
      </c>
      <c r="F1024" s="15" t="str">
        <f>CONCATENATE(Tabla1[[#This Row],[NOMBRE_MPIO]]," (",Tabla1[[#This Row],[NOMBRE_DEPTO]],")")</f>
        <v>TONA (SANTANDER)</v>
      </c>
      <c r="G1024" s="19" t="s">
        <v>2332</v>
      </c>
    </row>
    <row r="1025" spans="1:7" x14ac:dyDescent="0.15">
      <c r="A1025" s="19">
        <v>15</v>
      </c>
      <c r="B1025" s="14" t="s">
        <v>113</v>
      </c>
      <c r="C1025" s="14" t="s">
        <v>199</v>
      </c>
      <c r="D1025" s="14" t="s">
        <v>2333</v>
      </c>
      <c r="E1025" s="14" t="s">
        <v>2334</v>
      </c>
      <c r="F1025" s="15" t="str">
        <f>CONCATENATE(Tabla1[[#This Row],[NOMBRE_MPIO]]," (",Tabla1[[#This Row],[NOMBRE_DEPTO]],")")</f>
        <v>TÓPAGA (BOYACÁ)</v>
      </c>
      <c r="G1025" s="19" t="s">
        <v>2334</v>
      </c>
    </row>
    <row r="1026" spans="1:7" x14ac:dyDescent="0.15">
      <c r="A1026" s="19">
        <v>25</v>
      </c>
      <c r="B1026" s="14" t="s">
        <v>46</v>
      </c>
      <c r="D1026" s="14" t="s">
        <v>2335</v>
      </c>
      <c r="E1026" s="14" t="s">
        <v>2336</v>
      </c>
      <c r="F1026" s="15" t="str">
        <f>CONCATENATE(Tabla1[[#This Row],[NOMBRE_MPIO]]," (",Tabla1[[#This Row],[NOMBRE_DEPTO]],")")</f>
        <v>TOPAIPI (CUNDINAMARCA)</v>
      </c>
      <c r="G1026" s="19" t="s">
        <v>2336</v>
      </c>
    </row>
    <row r="1027" spans="1:7" x14ac:dyDescent="0.15">
      <c r="A1027" s="19">
        <v>19</v>
      </c>
      <c r="B1027" s="14" t="s">
        <v>109</v>
      </c>
      <c r="C1027" s="14" t="s">
        <v>10</v>
      </c>
      <c r="D1027" s="14" t="s">
        <v>2337</v>
      </c>
      <c r="E1027" s="14" t="s">
        <v>2338</v>
      </c>
      <c r="F1027" s="15" t="str">
        <f>CONCATENATE(Tabla1[[#This Row],[NOMBRE_MPIO]]," (",Tabla1[[#This Row],[NOMBRE_DEPTO]],")")</f>
        <v>TORIBIO (CAUCA)</v>
      </c>
      <c r="G1027" s="19" t="s">
        <v>2338</v>
      </c>
    </row>
    <row r="1028" spans="1:7" x14ac:dyDescent="0.15">
      <c r="A1028" s="19">
        <v>76</v>
      </c>
      <c r="B1028" s="14" t="s">
        <v>92</v>
      </c>
      <c r="D1028" s="14" t="s">
        <v>2339</v>
      </c>
      <c r="E1028" s="14" t="s">
        <v>2340</v>
      </c>
      <c r="F1028" s="15" t="str">
        <f>CONCATENATE(Tabla1[[#This Row],[NOMBRE_MPIO]]," (",Tabla1[[#This Row],[NOMBRE_DEPTO]],")")</f>
        <v>TORO (VALLE DEL CAUCA)</v>
      </c>
      <c r="G1028" s="19" t="s">
        <v>2340</v>
      </c>
    </row>
    <row r="1029" spans="1:7" x14ac:dyDescent="0.15">
      <c r="A1029" s="19">
        <v>15</v>
      </c>
      <c r="B1029" s="14" t="s">
        <v>113</v>
      </c>
      <c r="C1029" s="14" t="s">
        <v>199</v>
      </c>
      <c r="D1029" s="14" t="s">
        <v>2341</v>
      </c>
      <c r="E1029" s="14" t="s">
        <v>2342</v>
      </c>
      <c r="F1029" s="15" t="str">
        <f>CONCATENATE(Tabla1[[#This Row],[NOMBRE_MPIO]]," (",Tabla1[[#This Row],[NOMBRE_DEPTO]],")")</f>
        <v>TOTA (BOYACÁ)</v>
      </c>
      <c r="G1029" s="19" t="s">
        <v>2342</v>
      </c>
    </row>
    <row r="1030" spans="1:7" x14ac:dyDescent="0.15">
      <c r="A1030" s="19">
        <v>19</v>
      </c>
      <c r="B1030" s="14" t="s">
        <v>109</v>
      </c>
      <c r="C1030" s="14" t="s">
        <v>10</v>
      </c>
      <c r="D1030" s="14" t="s">
        <v>2343</v>
      </c>
      <c r="E1030" s="14" t="s">
        <v>2344</v>
      </c>
      <c r="F1030" s="15" t="str">
        <f>CONCATENATE(Tabla1[[#This Row],[NOMBRE_MPIO]]," (",Tabla1[[#This Row],[NOMBRE_DEPTO]],")")</f>
        <v>TOTORO (CAUCA)</v>
      </c>
      <c r="G1030" s="19" t="s">
        <v>2344</v>
      </c>
    </row>
    <row r="1031" spans="1:7" x14ac:dyDescent="0.15">
      <c r="A1031" s="19">
        <v>85</v>
      </c>
      <c r="B1031" s="14" t="s">
        <v>66</v>
      </c>
      <c r="C1031" s="14" t="s">
        <v>66</v>
      </c>
      <c r="D1031" s="14" t="s">
        <v>2345</v>
      </c>
      <c r="E1031" s="14" t="s">
        <v>2346</v>
      </c>
      <c r="F1031" s="15" t="str">
        <f>CONCATENATE(Tabla1[[#This Row],[NOMBRE_MPIO]]," (",Tabla1[[#This Row],[NOMBRE_DEPTO]],")")</f>
        <v>TRINIDAD (CASANARE)</v>
      </c>
      <c r="G1031" s="19" t="s">
        <v>2346</v>
      </c>
    </row>
    <row r="1032" spans="1:7" x14ac:dyDescent="0.15">
      <c r="A1032" s="19">
        <v>76</v>
      </c>
      <c r="B1032" s="14" t="s">
        <v>92</v>
      </c>
      <c r="D1032" s="14" t="s">
        <v>2347</v>
      </c>
      <c r="E1032" s="14" t="s">
        <v>2348</v>
      </c>
      <c r="F1032" s="15" t="str">
        <f>CONCATENATE(Tabla1[[#This Row],[NOMBRE_MPIO]]," (",Tabla1[[#This Row],[NOMBRE_DEPTO]],")")</f>
        <v>TRUJILLO (VALLE DEL CAUCA)</v>
      </c>
      <c r="G1032" s="19" t="s">
        <v>2348</v>
      </c>
    </row>
    <row r="1033" spans="1:7" x14ac:dyDescent="0.15">
      <c r="A1033" s="19">
        <v>8</v>
      </c>
      <c r="B1033" s="14" t="s">
        <v>296</v>
      </c>
      <c r="C1033" s="14" t="s">
        <v>1236</v>
      </c>
      <c r="D1033" s="14" t="s">
        <v>2349</v>
      </c>
      <c r="E1033" s="14" t="s">
        <v>2350</v>
      </c>
      <c r="F1033" s="15" t="str">
        <f>CONCATENATE(Tabla1[[#This Row],[NOMBRE_MPIO]]," (",Tabla1[[#This Row],[NOMBRE_DEPTO]],")")</f>
        <v>TUBARA (ATLÁNTICO)</v>
      </c>
      <c r="G1033" s="19" t="s">
        <v>2350</v>
      </c>
    </row>
    <row r="1034" spans="1:7" x14ac:dyDescent="0.15">
      <c r="A1034" s="19">
        <v>76</v>
      </c>
      <c r="B1034" s="14" t="s">
        <v>92</v>
      </c>
      <c r="D1034" s="14" t="s">
        <v>2351</v>
      </c>
      <c r="E1034" s="14" t="s">
        <v>2352</v>
      </c>
      <c r="F1034" s="15" t="str">
        <f>CONCATENATE(Tabla1[[#This Row],[NOMBRE_MPIO]]," (",Tabla1[[#This Row],[NOMBRE_DEPTO]],")")</f>
        <v>TULUÁ (VALLE DEL CAUCA)</v>
      </c>
      <c r="G1034" s="19" t="s">
        <v>2352</v>
      </c>
    </row>
    <row r="1035" spans="1:7" x14ac:dyDescent="0.15">
      <c r="A1035" s="19">
        <v>52</v>
      </c>
      <c r="B1035" s="14" t="s">
        <v>80</v>
      </c>
      <c r="D1035" s="14" t="s">
        <v>2353</v>
      </c>
      <c r="E1035" s="14" t="s">
        <v>2354</v>
      </c>
      <c r="F1035" s="15" t="str">
        <f>CONCATENATE(Tabla1[[#This Row],[NOMBRE_MPIO]]," (",Tabla1[[#This Row],[NOMBRE_DEPTO]],")")</f>
        <v>TUMACO (NARIÑO)</v>
      </c>
      <c r="G1035" s="19" t="s">
        <v>2354</v>
      </c>
    </row>
    <row r="1036" spans="1:7" x14ac:dyDescent="0.15">
      <c r="A1036" s="19">
        <v>15</v>
      </c>
      <c r="B1036" s="14" t="s">
        <v>113</v>
      </c>
      <c r="C1036" s="14" t="s">
        <v>42</v>
      </c>
      <c r="D1036" s="14" t="s">
        <v>2355</v>
      </c>
      <c r="E1036" s="14" t="s">
        <v>2356</v>
      </c>
      <c r="F1036" s="15" t="str">
        <f>CONCATENATE(Tabla1[[#This Row],[NOMBRE_MPIO]]," (",Tabla1[[#This Row],[NOMBRE_DEPTO]],")")</f>
        <v>TUNJA (BOYACÁ)</v>
      </c>
      <c r="G1036" s="19" t="s">
        <v>2356</v>
      </c>
    </row>
    <row r="1037" spans="1:7" x14ac:dyDescent="0.15">
      <c r="A1037" s="19">
        <v>15</v>
      </c>
      <c r="B1037" s="14" t="s">
        <v>113</v>
      </c>
      <c r="C1037" s="14" t="s">
        <v>15</v>
      </c>
      <c r="D1037" s="14" t="s">
        <v>2357</v>
      </c>
      <c r="E1037" s="14" t="s">
        <v>2358</v>
      </c>
      <c r="F1037" s="15" t="str">
        <f>CONCATENATE(Tabla1[[#This Row],[NOMBRE_MPIO]]," (",Tabla1[[#This Row],[NOMBRE_DEPTO]],")")</f>
        <v>TUNUNGUÁ (BOYACÁ)</v>
      </c>
      <c r="G1037" s="19" t="s">
        <v>2358</v>
      </c>
    </row>
    <row r="1038" spans="1:7" x14ac:dyDescent="0.15">
      <c r="A1038" s="19">
        <v>52</v>
      </c>
      <c r="B1038" s="14" t="s">
        <v>80</v>
      </c>
      <c r="D1038" s="14" t="s">
        <v>2359</v>
      </c>
      <c r="E1038" s="14" t="s">
        <v>2360</v>
      </c>
      <c r="F1038" s="15" t="str">
        <f>CONCATENATE(Tabla1[[#This Row],[NOMBRE_MPIO]]," (",Tabla1[[#This Row],[NOMBRE_DEPTO]],")")</f>
        <v>TUQUERRES (NARIÑO)</v>
      </c>
      <c r="G1038" s="19" t="s">
        <v>2360</v>
      </c>
    </row>
    <row r="1039" spans="1:7" x14ac:dyDescent="0.15">
      <c r="A1039" s="19">
        <v>13</v>
      </c>
      <c r="B1039" s="14" t="s">
        <v>37</v>
      </c>
      <c r="C1039" s="14" t="s">
        <v>250</v>
      </c>
      <c r="D1039" s="14" t="s">
        <v>2361</v>
      </c>
      <c r="E1039" s="14" t="s">
        <v>2362</v>
      </c>
      <c r="F1039" s="15" t="str">
        <f>CONCATENATE(Tabla1[[#This Row],[NOMBRE_MPIO]]," (",Tabla1[[#This Row],[NOMBRE_DEPTO]],")")</f>
        <v>TURBACO (BOLIVAR)</v>
      </c>
      <c r="G1039" s="19" t="s">
        <v>2362</v>
      </c>
    </row>
    <row r="1040" spans="1:7" x14ac:dyDescent="0.15">
      <c r="A1040" s="19">
        <v>13</v>
      </c>
      <c r="B1040" s="14" t="s">
        <v>37</v>
      </c>
      <c r="C1040" s="14" t="s">
        <v>250</v>
      </c>
      <c r="D1040" s="14" t="s">
        <v>2363</v>
      </c>
      <c r="E1040" s="14" t="s">
        <v>2364</v>
      </c>
      <c r="F1040" s="15" t="str">
        <f>CONCATENATE(Tabla1[[#This Row],[NOMBRE_MPIO]]," (",Tabla1[[#This Row],[NOMBRE_DEPTO]],")")</f>
        <v>TURBANA (BOLIVAR)</v>
      </c>
      <c r="G1040" s="19" t="s">
        <v>2364</v>
      </c>
    </row>
    <row r="1041" spans="1:7" x14ac:dyDescent="0.15">
      <c r="A1041" s="19">
        <v>5</v>
      </c>
      <c r="B1041" s="14" t="s">
        <v>9</v>
      </c>
      <c r="C1041" s="14" t="s">
        <v>187</v>
      </c>
      <c r="D1041" s="14" t="s">
        <v>2365</v>
      </c>
      <c r="E1041" s="14" t="s">
        <v>2366</v>
      </c>
      <c r="F1041" s="15" t="str">
        <f>CONCATENATE(Tabla1[[#This Row],[NOMBRE_MPIO]]," (",Tabla1[[#This Row],[NOMBRE_DEPTO]],")")</f>
        <v>TURBO (ANTIOQUIA)</v>
      </c>
      <c r="G1041" s="19" t="s">
        <v>2366</v>
      </c>
    </row>
    <row r="1042" spans="1:7" x14ac:dyDescent="0.15">
      <c r="A1042" s="19">
        <v>15</v>
      </c>
      <c r="B1042" s="14" t="s">
        <v>113</v>
      </c>
      <c r="C1042" s="14" t="s">
        <v>418</v>
      </c>
      <c r="D1042" s="14" t="s">
        <v>2367</v>
      </c>
      <c r="E1042" s="14" t="s">
        <v>2368</v>
      </c>
      <c r="F1042" s="15" t="str">
        <f>CONCATENATE(Tabla1[[#This Row],[NOMBRE_MPIO]]," (",Tabla1[[#This Row],[NOMBRE_DEPTO]],")")</f>
        <v>TURMEQUÉ (BOYACÁ)</v>
      </c>
      <c r="G1042" s="19" t="s">
        <v>2368</v>
      </c>
    </row>
    <row r="1043" spans="1:7" x14ac:dyDescent="0.15">
      <c r="A1043" s="19">
        <v>15</v>
      </c>
      <c r="B1043" s="14" t="s">
        <v>113</v>
      </c>
      <c r="C1043" s="14" t="s">
        <v>42</v>
      </c>
      <c r="D1043" s="14" t="s">
        <v>2369</v>
      </c>
      <c r="E1043" s="14" t="s">
        <v>2370</v>
      </c>
      <c r="F1043" s="15" t="str">
        <f>CONCATENATE(Tabla1[[#This Row],[NOMBRE_MPIO]]," (",Tabla1[[#This Row],[NOMBRE_DEPTO]],")")</f>
        <v>TUTA (BOYACÁ)</v>
      </c>
      <c r="G1043" s="19" t="s">
        <v>2370</v>
      </c>
    </row>
    <row r="1044" spans="1:7" x14ac:dyDescent="0.15">
      <c r="A1044" s="19">
        <v>15</v>
      </c>
      <c r="B1044" s="14" t="s">
        <v>113</v>
      </c>
      <c r="C1044" s="14" t="s">
        <v>344</v>
      </c>
      <c r="D1044" s="14" t="s">
        <v>2371</v>
      </c>
      <c r="E1044" s="14" t="s">
        <v>2372</v>
      </c>
      <c r="F1044" s="15" t="str">
        <f>CONCATENATE(Tabla1[[#This Row],[NOMBRE_MPIO]]," (",Tabla1[[#This Row],[NOMBRE_DEPTO]],")")</f>
        <v>TUTAZÁ (BOYACÁ)</v>
      </c>
      <c r="G1044" s="19" t="s">
        <v>2372</v>
      </c>
    </row>
    <row r="1045" spans="1:7" x14ac:dyDescent="0.15">
      <c r="A1045" s="19">
        <v>25</v>
      </c>
      <c r="B1045" s="14" t="s">
        <v>46</v>
      </c>
      <c r="D1045" s="14" t="s">
        <v>2373</v>
      </c>
      <c r="E1045" s="14" t="s">
        <v>2374</v>
      </c>
      <c r="F1045" s="15" t="str">
        <f>CONCATENATE(Tabla1[[#This Row],[NOMBRE_MPIO]]," (",Tabla1[[#This Row],[NOMBRE_DEPTO]],")")</f>
        <v>UBALÁ (CUNDINAMARCA)</v>
      </c>
      <c r="G1045" s="19" t="s">
        <v>2374</v>
      </c>
    </row>
    <row r="1046" spans="1:7" x14ac:dyDescent="0.15">
      <c r="A1046" s="19">
        <v>25</v>
      </c>
      <c r="B1046" s="14" t="s">
        <v>46</v>
      </c>
      <c r="D1046" s="14" t="s">
        <v>2375</v>
      </c>
      <c r="E1046" s="14" t="s">
        <v>2376</v>
      </c>
      <c r="F1046" s="15" t="str">
        <f>CONCATENATE(Tabla1[[#This Row],[NOMBRE_MPIO]]," (",Tabla1[[#This Row],[NOMBRE_DEPTO]],")")</f>
        <v>UBAQUE (CUNDINAMARCA)</v>
      </c>
      <c r="G1046" s="19" t="s">
        <v>2376</v>
      </c>
    </row>
    <row r="1047" spans="1:7" x14ac:dyDescent="0.15">
      <c r="A1047" s="19">
        <v>25</v>
      </c>
      <c r="B1047" s="14" t="s">
        <v>46</v>
      </c>
      <c r="D1047" s="14" t="s">
        <v>600</v>
      </c>
      <c r="E1047" s="14" t="s">
        <v>2377</v>
      </c>
      <c r="F1047" s="15" t="str">
        <f>CONCATENATE(Tabla1[[#This Row],[NOMBRE_MPIO]]," (",Tabla1[[#This Row],[NOMBRE_DEPTO]],")")</f>
        <v>UBATE (CUNDINAMARCA)</v>
      </c>
      <c r="G1047" s="19" t="s">
        <v>2377</v>
      </c>
    </row>
    <row r="1048" spans="1:7" x14ac:dyDescent="0.15">
      <c r="A1048" s="19">
        <v>76</v>
      </c>
      <c r="B1048" s="14" t="s">
        <v>92</v>
      </c>
      <c r="D1048" s="14" t="s">
        <v>2378</v>
      </c>
      <c r="E1048" s="14" t="s">
        <v>2379</v>
      </c>
      <c r="F1048" s="15" t="str">
        <f>CONCATENATE(Tabla1[[#This Row],[NOMBRE_MPIO]]," (",Tabla1[[#This Row],[NOMBRE_DEPTO]],")")</f>
        <v>ULLOA (VALLE DEL CAUCA)</v>
      </c>
      <c r="G1048" s="19" t="s">
        <v>2379</v>
      </c>
    </row>
    <row r="1049" spans="1:7" x14ac:dyDescent="0.15">
      <c r="A1049" s="19">
        <v>15</v>
      </c>
      <c r="B1049" s="14" t="s">
        <v>113</v>
      </c>
      <c r="C1049" s="14" t="s">
        <v>418</v>
      </c>
      <c r="D1049" s="14" t="s">
        <v>2380</v>
      </c>
      <c r="E1049" s="14" t="s">
        <v>2381</v>
      </c>
      <c r="F1049" s="15" t="str">
        <f>CONCATENATE(Tabla1[[#This Row],[NOMBRE_MPIO]]," (",Tabla1[[#This Row],[NOMBRE_DEPTO]],")")</f>
        <v>UMBITA (BOYACÁ)</v>
      </c>
      <c r="G1049" s="19" t="s">
        <v>2381</v>
      </c>
    </row>
    <row r="1050" spans="1:7" x14ac:dyDescent="0.15">
      <c r="A1050" s="19">
        <v>25</v>
      </c>
      <c r="B1050" s="14" t="s">
        <v>46</v>
      </c>
      <c r="D1050" s="14" t="s">
        <v>2382</v>
      </c>
      <c r="E1050" s="14" t="s">
        <v>2383</v>
      </c>
      <c r="F1050" s="15" t="str">
        <f>CONCATENATE(Tabla1[[#This Row],[NOMBRE_MPIO]]," (",Tabla1[[#This Row],[NOMBRE_DEPTO]],")")</f>
        <v>UNE (CUNDINAMARCA)</v>
      </c>
      <c r="G1050" s="19" t="s">
        <v>2383</v>
      </c>
    </row>
    <row r="1051" spans="1:7" x14ac:dyDescent="0.15">
      <c r="A1051" s="19">
        <v>27</v>
      </c>
      <c r="B1051" s="14" t="s">
        <v>27</v>
      </c>
      <c r="C1051" s="14" t="s">
        <v>28</v>
      </c>
      <c r="D1051" s="14" t="s">
        <v>2384</v>
      </c>
      <c r="E1051" s="14" t="s">
        <v>2385</v>
      </c>
      <c r="F1051" s="15" t="str">
        <f>CONCATENATE(Tabla1[[#This Row],[NOMBRE_MPIO]]," (",Tabla1[[#This Row],[NOMBRE_DEPTO]],")")</f>
        <v>UNGUÍA (CHOCO)</v>
      </c>
      <c r="G1051" s="19" t="s">
        <v>2385</v>
      </c>
    </row>
    <row r="1052" spans="1:7" x14ac:dyDescent="0.15">
      <c r="A1052" s="19">
        <v>27</v>
      </c>
      <c r="B1052" s="14" t="s">
        <v>27</v>
      </c>
      <c r="D1052" s="14" t="s">
        <v>2386</v>
      </c>
      <c r="E1052" s="14" t="s">
        <v>2387</v>
      </c>
      <c r="F1052" s="15" t="str">
        <f>CONCATENATE(Tabla1[[#This Row],[NOMBRE_MPIO]]," (",Tabla1[[#This Row],[NOMBRE_DEPTO]],")")</f>
        <v>UNION PANAMERICANA (CHOCO)</v>
      </c>
      <c r="G1052" s="19" t="s">
        <v>2387</v>
      </c>
    </row>
    <row r="1053" spans="1:7" x14ac:dyDescent="0.15">
      <c r="A1053" s="19">
        <v>5</v>
      </c>
      <c r="B1053" s="14" t="s">
        <v>9</v>
      </c>
      <c r="C1053" s="14" t="s">
        <v>15</v>
      </c>
      <c r="D1053" s="14" t="s">
        <v>2388</v>
      </c>
      <c r="E1053" s="14" t="s">
        <v>2389</v>
      </c>
      <c r="F1053" s="15" t="str">
        <f>CONCATENATE(Tabla1[[#This Row],[NOMBRE_MPIO]]," (",Tabla1[[#This Row],[NOMBRE_DEPTO]],")")</f>
        <v>URAMITA (ANTIOQUIA)</v>
      </c>
      <c r="G1053" s="19" t="s">
        <v>2389</v>
      </c>
    </row>
    <row r="1054" spans="1:7" x14ac:dyDescent="0.15">
      <c r="A1054" s="19">
        <v>44</v>
      </c>
      <c r="B1054" s="14" t="s">
        <v>87</v>
      </c>
      <c r="D1054" s="14" t="s">
        <v>2390</v>
      </c>
      <c r="E1054" s="14" t="s">
        <v>2391</v>
      </c>
      <c r="F1054" s="15" t="str">
        <f>CONCATENATE(Tabla1[[#This Row],[NOMBRE_MPIO]]," (",Tabla1[[#This Row],[NOMBRE_DEPTO]],")")</f>
        <v>URIBIA (LA GUAJIRA)</v>
      </c>
      <c r="G1054" s="19" t="s">
        <v>2391</v>
      </c>
    </row>
    <row r="1055" spans="1:7" x14ac:dyDescent="0.15">
      <c r="A1055" s="19">
        <v>5</v>
      </c>
      <c r="B1055" s="14" t="s">
        <v>9</v>
      </c>
      <c r="C1055" s="14" t="s">
        <v>137</v>
      </c>
      <c r="D1055" s="14" t="s">
        <v>2392</v>
      </c>
      <c r="E1055" s="14" t="s">
        <v>2393</v>
      </c>
      <c r="F1055" s="15" t="str">
        <f>CONCATENATE(Tabla1[[#This Row],[NOMBRE_MPIO]]," (",Tabla1[[#This Row],[NOMBRE_DEPTO]],")")</f>
        <v>URRAO (ANTIOQUIA)</v>
      </c>
      <c r="G1055" s="19" t="s">
        <v>2393</v>
      </c>
    </row>
    <row r="1056" spans="1:7" x14ac:dyDescent="0.15">
      <c r="A1056" s="19">
        <v>44</v>
      </c>
      <c r="B1056" s="14" t="s">
        <v>87</v>
      </c>
      <c r="D1056" s="14" t="s">
        <v>2394</v>
      </c>
      <c r="E1056" s="14" t="s">
        <v>2395</v>
      </c>
      <c r="F1056" s="15" t="str">
        <f>CONCATENATE(Tabla1[[#This Row],[NOMBRE_MPIO]]," (",Tabla1[[#This Row],[NOMBRE_DEPTO]],")")</f>
        <v>URUMITA (LA GUAJIRA)</v>
      </c>
      <c r="G1056" s="19" t="s">
        <v>2395</v>
      </c>
    </row>
    <row r="1057" spans="1:7" x14ac:dyDescent="0.15">
      <c r="A1057" s="19">
        <v>8</v>
      </c>
      <c r="B1057" s="14" t="s">
        <v>296</v>
      </c>
      <c r="C1057" s="14" t="s">
        <v>1236</v>
      </c>
      <c r="D1057" s="14" t="s">
        <v>2396</v>
      </c>
      <c r="E1057" s="14" t="s">
        <v>2397</v>
      </c>
      <c r="F1057" s="15" t="str">
        <f>CONCATENATE(Tabla1[[#This Row],[NOMBRE_MPIO]]," (",Tabla1[[#This Row],[NOMBRE_DEPTO]],")")</f>
        <v>USIACURi (ATLÁNTICO)</v>
      </c>
      <c r="G1057" s="19" t="s">
        <v>2397</v>
      </c>
    </row>
    <row r="1058" spans="1:7" x14ac:dyDescent="0.15">
      <c r="A1058" s="19">
        <v>25</v>
      </c>
      <c r="B1058" s="14" t="s">
        <v>46</v>
      </c>
      <c r="D1058" s="14" t="s">
        <v>2398</v>
      </c>
      <c r="E1058" s="14" t="s">
        <v>2399</v>
      </c>
      <c r="F1058" s="15" t="str">
        <f>CONCATENATE(Tabla1[[#This Row],[NOMBRE_MPIO]]," (",Tabla1[[#This Row],[NOMBRE_DEPTO]],")")</f>
        <v>ÚTICA (CUNDINAMARCA)</v>
      </c>
      <c r="G1058" s="19" t="s">
        <v>2399</v>
      </c>
    </row>
    <row r="1059" spans="1:7" x14ac:dyDescent="0.15">
      <c r="A1059" s="19">
        <v>5</v>
      </c>
      <c r="B1059" s="14" t="s">
        <v>9</v>
      </c>
      <c r="C1059" s="14" t="s">
        <v>62</v>
      </c>
      <c r="D1059" s="14" t="s">
        <v>2400</v>
      </c>
      <c r="E1059" s="14" t="s">
        <v>2401</v>
      </c>
      <c r="F1059" s="15" t="str">
        <f>CONCATENATE(Tabla1[[#This Row],[NOMBRE_MPIO]]," (",Tabla1[[#This Row],[NOMBRE_DEPTO]],")")</f>
        <v>VALDIVIA (ANTIOQUIA)</v>
      </c>
      <c r="G1059" s="19" t="s">
        <v>2401</v>
      </c>
    </row>
    <row r="1060" spans="1:7" x14ac:dyDescent="0.15">
      <c r="A1060" s="19">
        <v>23</v>
      </c>
      <c r="B1060" s="14" t="s">
        <v>276</v>
      </c>
      <c r="D1060" s="14" t="s">
        <v>2402</v>
      </c>
      <c r="E1060" s="14" t="s">
        <v>2403</v>
      </c>
      <c r="F1060" s="15" t="str">
        <f>CONCATENATE(Tabla1[[#This Row],[NOMBRE_MPIO]]," (",Tabla1[[#This Row],[NOMBRE_DEPTO]],")")</f>
        <v>VALENCIA (CORDOBA)</v>
      </c>
      <c r="G1060" s="19" t="s">
        <v>2403</v>
      </c>
    </row>
    <row r="1061" spans="1:7" x14ac:dyDescent="0.15">
      <c r="A1061" s="19">
        <v>68</v>
      </c>
      <c r="B1061" s="14" t="s">
        <v>56</v>
      </c>
      <c r="D1061" s="14" t="s">
        <v>2404</v>
      </c>
      <c r="E1061" s="14" t="s">
        <v>2405</v>
      </c>
      <c r="F1061" s="15" t="str">
        <f>CONCATENATE(Tabla1[[#This Row],[NOMBRE_MPIO]]," (",Tabla1[[#This Row],[NOMBRE_DEPTO]],")")</f>
        <v>VALLE DE SAN JOSÉ (SANTANDER)</v>
      </c>
      <c r="G1061" s="19" t="s">
        <v>2405</v>
      </c>
    </row>
    <row r="1062" spans="1:7" x14ac:dyDescent="0.15">
      <c r="A1062" s="19">
        <v>73</v>
      </c>
      <c r="B1062" s="14" t="s">
        <v>117</v>
      </c>
      <c r="D1062" s="14" t="s">
        <v>2406</v>
      </c>
      <c r="E1062" s="14" t="s">
        <v>2407</v>
      </c>
      <c r="F1062" s="15" t="str">
        <f>CONCATENATE(Tabla1[[#This Row],[NOMBRE_MPIO]]," (",Tabla1[[#This Row],[NOMBRE_DEPTO]],")")</f>
        <v>VALLE DE SAN JUAN (TOLIMA)</v>
      </c>
      <c r="G1062" s="19" t="s">
        <v>2407</v>
      </c>
    </row>
    <row r="1063" spans="1:7" x14ac:dyDescent="0.15">
      <c r="A1063" s="19">
        <v>86</v>
      </c>
      <c r="B1063" s="14" t="s">
        <v>793</v>
      </c>
      <c r="D1063" s="14" t="s">
        <v>2408</v>
      </c>
      <c r="E1063" s="14" t="s">
        <v>2409</v>
      </c>
      <c r="F1063" s="15" t="str">
        <f>CONCATENATE(Tabla1[[#This Row],[NOMBRE_MPIO]]," (",Tabla1[[#This Row],[NOMBRE_DEPTO]],")")</f>
        <v>VALLE DEL GUAMUEZ (PUTUMAYO)</v>
      </c>
      <c r="G1063" s="19" t="s">
        <v>2409</v>
      </c>
    </row>
    <row r="1064" spans="1:7" x14ac:dyDescent="0.15">
      <c r="A1064" s="19">
        <v>20</v>
      </c>
      <c r="B1064" s="14" t="s">
        <v>51</v>
      </c>
      <c r="C1064" s="14" t="s">
        <v>62</v>
      </c>
      <c r="D1064" s="14" t="s">
        <v>2410</v>
      </c>
      <c r="E1064" s="14" t="s">
        <v>2411</v>
      </c>
      <c r="F1064" s="15" t="str">
        <f>CONCATENATE(Tabla1[[#This Row],[NOMBRE_MPIO]]," (",Tabla1[[#This Row],[NOMBRE_DEPTO]],")")</f>
        <v>VALLEDUPAR (CESAR)</v>
      </c>
      <c r="G1064" s="19" t="s">
        <v>2411</v>
      </c>
    </row>
    <row r="1065" spans="1:7" x14ac:dyDescent="0.15">
      <c r="A1065" s="19">
        <v>5</v>
      </c>
      <c r="B1065" s="14" t="s">
        <v>9</v>
      </c>
      <c r="C1065" s="14" t="s">
        <v>137</v>
      </c>
      <c r="D1065" s="14" t="s">
        <v>2412</v>
      </c>
      <c r="E1065" s="14" t="s">
        <v>2413</v>
      </c>
      <c r="F1065" s="15" t="str">
        <f>CONCATENATE(Tabla1[[#This Row],[NOMBRE_MPIO]]," (",Tabla1[[#This Row],[NOMBRE_DEPTO]],")")</f>
        <v>VALPARAISO (ANTIOQUIA)</v>
      </c>
      <c r="G1065" s="19" t="s">
        <v>2413</v>
      </c>
    </row>
    <row r="1066" spans="1:7" x14ac:dyDescent="0.15">
      <c r="A1066" s="19">
        <v>18</v>
      </c>
      <c r="B1066" s="14" t="s">
        <v>84</v>
      </c>
      <c r="C1066" s="14" t="s">
        <v>84</v>
      </c>
      <c r="D1066" s="14" t="s">
        <v>2412</v>
      </c>
      <c r="E1066" s="14" t="s">
        <v>2414</v>
      </c>
      <c r="F1066" s="15" t="str">
        <f>CONCATENATE(Tabla1[[#This Row],[NOMBRE_MPIO]]," (",Tabla1[[#This Row],[NOMBRE_DEPTO]],")")</f>
        <v>VALPARAISO (CAQUETA)</v>
      </c>
      <c r="G1066" s="19" t="s">
        <v>2414</v>
      </c>
    </row>
    <row r="1067" spans="1:7" x14ac:dyDescent="0.15">
      <c r="A1067" s="19">
        <v>5</v>
      </c>
      <c r="B1067" s="14" t="s">
        <v>9</v>
      </c>
      <c r="C1067" s="14" t="s">
        <v>141</v>
      </c>
      <c r="D1067" s="14" t="s">
        <v>2415</v>
      </c>
      <c r="E1067" s="14" t="s">
        <v>2416</v>
      </c>
      <c r="F1067" s="15" t="str">
        <f>CONCATENATE(Tabla1[[#This Row],[NOMBRE_MPIO]]," (",Tabla1[[#This Row],[NOMBRE_DEPTO]],")")</f>
        <v>VEGACHÍ (ANTIOQUIA)</v>
      </c>
      <c r="G1067" s="19" t="s">
        <v>2416</v>
      </c>
    </row>
    <row r="1068" spans="1:7" x14ac:dyDescent="0.15">
      <c r="A1068" s="19">
        <v>68</v>
      </c>
      <c r="B1068" s="14" t="s">
        <v>56</v>
      </c>
      <c r="D1068" s="14" t="s">
        <v>2417</v>
      </c>
      <c r="E1068" s="14" t="s">
        <v>2418</v>
      </c>
      <c r="F1068" s="15" t="str">
        <f>CONCATENATE(Tabla1[[#This Row],[NOMBRE_MPIO]]," (",Tabla1[[#This Row],[NOMBRE_DEPTO]],")")</f>
        <v>VÉLEZ (SANTANDER)</v>
      </c>
      <c r="G1068" s="19" t="s">
        <v>2418</v>
      </c>
    </row>
    <row r="1069" spans="1:7" x14ac:dyDescent="0.15">
      <c r="A1069" s="19">
        <v>73</v>
      </c>
      <c r="B1069" s="14" t="s">
        <v>117</v>
      </c>
      <c r="D1069" s="14" t="s">
        <v>2419</v>
      </c>
      <c r="E1069" s="14" t="s">
        <v>2420</v>
      </c>
      <c r="F1069" s="15" t="str">
        <f>CONCATENATE(Tabla1[[#This Row],[NOMBRE_MPIO]]," (",Tabla1[[#This Row],[NOMBRE_DEPTO]],")")</f>
        <v>VENADILLO (TOLIMA)</v>
      </c>
      <c r="G1069" s="19" t="s">
        <v>2420</v>
      </c>
    </row>
    <row r="1070" spans="1:7" x14ac:dyDescent="0.15">
      <c r="A1070" s="19">
        <v>5</v>
      </c>
      <c r="B1070" s="14" t="s">
        <v>9</v>
      </c>
      <c r="C1070" s="14" t="s">
        <v>137</v>
      </c>
      <c r="D1070" s="14" t="s">
        <v>2421</v>
      </c>
      <c r="E1070" s="14" t="s">
        <v>2422</v>
      </c>
      <c r="F1070" s="15" t="str">
        <f>CONCATENATE(Tabla1[[#This Row],[NOMBRE_MPIO]]," (",Tabla1[[#This Row],[NOMBRE_DEPTO]],")")</f>
        <v>VENECIA (ANTIOQUIA)</v>
      </c>
      <c r="G1070" s="19" t="s">
        <v>2422</v>
      </c>
    </row>
    <row r="1071" spans="1:7" x14ac:dyDescent="0.15">
      <c r="A1071" s="19">
        <v>25</v>
      </c>
      <c r="B1071" s="14" t="s">
        <v>46</v>
      </c>
      <c r="D1071" s="14" t="s">
        <v>2421</v>
      </c>
      <c r="E1071" s="14" t="s">
        <v>2423</v>
      </c>
      <c r="F1071" s="15" t="str">
        <f>CONCATENATE(Tabla1[[#This Row],[NOMBRE_MPIO]]," (",Tabla1[[#This Row],[NOMBRE_DEPTO]],")")</f>
        <v>VENECIA (CUNDINAMARCA)</v>
      </c>
      <c r="G1071" s="19" t="s">
        <v>2423</v>
      </c>
    </row>
    <row r="1072" spans="1:7" x14ac:dyDescent="0.15">
      <c r="A1072" s="19">
        <v>15</v>
      </c>
      <c r="B1072" s="14" t="s">
        <v>113</v>
      </c>
      <c r="C1072" s="14" t="s">
        <v>42</v>
      </c>
      <c r="D1072" s="14" t="s">
        <v>2424</v>
      </c>
      <c r="E1072" s="14" t="s">
        <v>2425</v>
      </c>
      <c r="F1072" s="15" t="str">
        <f>CONCATENATE(Tabla1[[#This Row],[NOMBRE_MPIO]]," (",Tabla1[[#This Row],[NOMBRE_DEPTO]],")")</f>
        <v>VENTAQUEMADA (BOYACÁ)</v>
      </c>
      <c r="G1072" s="19" t="s">
        <v>2425</v>
      </c>
    </row>
    <row r="1073" spans="1:7" x14ac:dyDescent="0.15">
      <c r="A1073" s="19">
        <v>25</v>
      </c>
      <c r="B1073" s="14" t="s">
        <v>46</v>
      </c>
      <c r="D1073" s="14" t="s">
        <v>2426</v>
      </c>
      <c r="E1073" s="14" t="s">
        <v>2427</v>
      </c>
      <c r="F1073" s="15" t="str">
        <f>CONCATENATE(Tabla1[[#This Row],[NOMBRE_MPIO]]," (",Tabla1[[#This Row],[NOMBRE_DEPTO]],")")</f>
        <v>VERGARA (CUNDINAMARCA)</v>
      </c>
      <c r="G1073" s="19" t="s">
        <v>2427</v>
      </c>
    </row>
    <row r="1074" spans="1:7" x14ac:dyDescent="0.15">
      <c r="A1074" s="19">
        <v>76</v>
      </c>
      <c r="B1074" s="14" t="s">
        <v>92</v>
      </c>
      <c r="D1074" s="14" t="s">
        <v>2428</v>
      </c>
      <c r="E1074" s="14" t="s">
        <v>2429</v>
      </c>
      <c r="F1074" s="15" t="str">
        <f>CONCATENATE(Tabla1[[#This Row],[NOMBRE_MPIO]]," (",Tabla1[[#This Row],[NOMBRE_DEPTO]],")")</f>
        <v>VERSALLES (VALLE DEL CAUCA)</v>
      </c>
      <c r="G1074" s="19" t="s">
        <v>2429</v>
      </c>
    </row>
    <row r="1075" spans="1:7" x14ac:dyDescent="0.15">
      <c r="A1075" s="19">
        <v>68</v>
      </c>
      <c r="B1075" s="14" t="s">
        <v>56</v>
      </c>
      <c r="D1075" s="14" t="s">
        <v>2430</v>
      </c>
      <c r="E1075" s="14" t="s">
        <v>2431</v>
      </c>
      <c r="F1075" s="15" t="str">
        <f>CONCATENATE(Tabla1[[#This Row],[NOMBRE_MPIO]]," (",Tabla1[[#This Row],[NOMBRE_DEPTO]],")")</f>
        <v>VETAS (SANTANDER)</v>
      </c>
      <c r="G1075" s="19" t="s">
        <v>2431</v>
      </c>
    </row>
    <row r="1076" spans="1:7" x14ac:dyDescent="0.15">
      <c r="A1076" s="19">
        <v>25</v>
      </c>
      <c r="B1076" s="14" t="s">
        <v>46</v>
      </c>
      <c r="D1076" s="14" t="s">
        <v>2432</v>
      </c>
      <c r="E1076" s="14" t="s">
        <v>2433</v>
      </c>
      <c r="F1076" s="15" t="str">
        <f>CONCATENATE(Tabla1[[#This Row],[NOMBRE_MPIO]]," (",Tabla1[[#This Row],[NOMBRE_DEPTO]],")")</f>
        <v>VIANÍ (CUNDINAMARCA)</v>
      </c>
      <c r="G1076" s="19" t="s">
        <v>2433</v>
      </c>
    </row>
    <row r="1077" spans="1:7" x14ac:dyDescent="0.15">
      <c r="A1077" s="19">
        <v>17</v>
      </c>
      <c r="B1077" s="14" t="s">
        <v>61</v>
      </c>
      <c r="C1077" s="14" t="s">
        <v>10</v>
      </c>
      <c r="D1077" s="14" t="s">
        <v>2434</v>
      </c>
      <c r="E1077" s="14" t="s">
        <v>2435</v>
      </c>
      <c r="F1077" s="15" t="str">
        <f>CONCATENATE(Tabla1[[#This Row],[NOMBRE_MPIO]]," (",Tabla1[[#This Row],[NOMBRE_DEPTO]],")")</f>
        <v>VICTORIA (CALDAS)</v>
      </c>
      <c r="G1077" s="19" t="s">
        <v>2435</v>
      </c>
    </row>
    <row r="1078" spans="1:7" x14ac:dyDescent="0.15">
      <c r="A1078" s="19">
        <v>5</v>
      </c>
      <c r="B1078" s="14" t="s">
        <v>9</v>
      </c>
      <c r="C1078" s="14" t="s">
        <v>187</v>
      </c>
      <c r="D1078" s="14" t="s">
        <v>2436</v>
      </c>
      <c r="E1078" s="14" t="s">
        <v>2437</v>
      </c>
      <c r="F1078" s="15" t="str">
        <f>CONCATENATE(Tabla1[[#This Row],[NOMBRE_MPIO]]," (",Tabla1[[#This Row],[NOMBRE_DEPTO]],")")</f>
        <v>VIGÍA DEL FUERTE (ANTIOQUIA)</v>
      </c>
      <c r="G1078" s="19" t="s">
        <v>2437</v>
      </c>
    </row>
    <row r="1079" spans="1:7" x14ac:dyDescent="0.15">
      <c r="A1079" s="19">
        <v>76</v>
      </c>
      <c r="B1079" s="14" t="s">
        <v>92</v>
      </c>
      <c r="D1079" s="14" t="s">
        <v>2438</v>
      </c>
      <c r="E1079" s="14" t="s">
        <v>2439</v>
      </c>
      <c r="F1079" s="15" t="str">
        <f>CONCATENATE(Tabla1[[#This Row],[NOMBRE_MPIO]]," (",Tabla1[[#This Row],[NOMBRE_DEPTO]],")")</f>
        <v>VIJES (VALLE DEL CAUCA)</v>
      </c>
      <c r="G1079" s="19" t="s">
        <v>2439</v>
      </c>
    </row>
    <row r="1080" spans="1:7" x14ac:dyDescent="0.15">
      <c r="A1080" s="19">
        <v>54</v>
      </c>
      <c r="B1080" s="14" t="s">
        <v>14</v>
      </c>
      <c r="D1080" s="14" t="s">
        <v>2440</v>
      </c>
      <c r="E1080" s="14" t="s">
        <v>2441</v>
      </c>
      <c r="F1080" s="15" t="str">
        <f>CONCATENATE(Tabla1[[#This Row],[NOMBRE_MPIO]]," (",Tabla1[[#This Row],[NOMBRE_DEPTO]],")")</f>
        <v>VILLA CARO (NORTE DE SANTANDER)</v>
      </c>
      <c r="G1080" s="19" t="s">
        <v>2441</v>
      </c>
    </row>
    <row r="1081" spans="1:7" x14ac:dyDescent="0.15">
      <c r="A1081" s="19">
        <v>15</v>
      </c>
      <c r="B1081" s="14" t="s">
        <v>113</v>
      </c>
      <c r="C1081" s="14" t="s">
        <v>232</v>
      </c>
      <c r="D1081" s="14" t="s">
        <v>2442</v>
      </c>
      <c r="E1081" s="14" t="s">
        <v>2443</v>
      </c>
      <c r="F1081" s="15" t="str">
        <f>CONCATENATE(Tabla1[[#This Row],[NOMBRE_MPIO]]," (",Tabla1[[#This Row],[NOMBRE_DEPTO]],")")</f>
        <v>VILLA DE LEYVA (BOYACÁ)</v>
      </c>
      <c r="G1081" s="19" t="s">
        <v>2443</v>
      </c>
    </row>
    <row r="1082" spans="1:7" x14ac:dyDescent="0.15">
      <c r="A1082" s="19">
        <v>54</v>
      </c>
      <c r="B1082" s="14" t="s">
        <v>14</v>
      </c>
      <c r="D1082" s="14" t="s">
        <v>2444</v>
      </c>
      <c r="E1082" s="14" t="s">
        <v>2445</v>
      </c>
      <c r="F1082" s="15" t="str">
        <f>CONCATENATE(Tabla1[[#This Row],[NOMBRE_MPIO]]," (",Tabla1[[#This Row],[NOMBRE_DEPTO]],")")</f>
        <v>VILLA DEL ROSARIO (NORTE DE SANTANDER)</v>
      </c>
      <c r="G1082" s="19" t="s">
        <v>2445</v>
      </c>
    </row>
    <row r="1083" spans="1:7" x14ac:dyDescent="0.15">
      <c r="A1083" s="19">
        <v>86</v>
      </c>
      <c r="B1083" s="14" t="s">
        <v>793</v>
      </c>
      <c r="D1083" s="14" t="s">
        <v>2446</v>
      </c>
      <c r="E1083" s="14" t="s">
        <v>2447</v>
      </c>
      <c r="F1083" s="15" t="str">
        <f>CONCATENATE(Tabla1[[#This Row],[NOMBRE_MPIO]]," (",Tabla1[[#This Row],[NOMBRE_DEPTO]],")")</f>
        <v>VILLA GARZON (PUTUMAYO)</v>
      </c>
      <c r="G1083" s="19" t="s">
        <v>2447</v>
      </c>
    </row>
    <row r="1084" spans="1:7" x14ac:dyDescent="0.15">
      <c r="A1084" s="19">
        <v>19</v>
      </c>
      <c r="B1084" s="14" t="s">
        <v>109</v>
      </c>
      <c r="C1084" s="14" t="s">
        <v>62</v>
      </c>
      <c r="D1084" s="14" t="s">
        <v>2448</v>
      </c>
      <c r="E1084" s="14" t="s">
        <v>2449</v>
      </c>
      <c r="F1084" s="15" t="str">
        <f>CONCATENATE(Tabla1[[#This Row],[NOMBRE_MPIO]]," (",Tabla1[[#This Row],[NOMBRE_DEPTO]],")")</f>
        <v>VILLA RICA (CAUCA)</v>
      </c>
      <c r="G1084" s="19" t="s">
        <v>2449</v>
      </c>
    </row>
    <row r="1085" spans="1:7" x14ac:dyDescent="0.15">
      <c r="A1085" s="19">
        <v>25</v>
      </c>
      <c r="B1085" s="14" t="s">
        <v>46</v>
      </c>
      <c r="D1085" s="14" t="s">
        <v>2450</v>
      </c>
      <c r="E1085" s="14" t="s">
        <v>2451</v>
      </c>
      <c r="F1085" s="15" t="str">
        <f>CONCATENATE(Tabla1[[#This Row],[NOMBRE_MPIO]]," (",Tabla1[[#This Row],[NOMBRE_DEPTO]],")")</f>
        <v>VILLAGOMEZ (CUNDINAMARCA)</v>
      </c>
      <c r="G1085" s="19" t="s">
        <v>2451</v>
      </c>
    </row>
    <row r="1086" spans="1:7" x14ac:dyDescent="0.15">
      <c r="A1086" s="19">
        <v>73</v>
      </c>
      <c r="B1086" s="14" t="s">
        <v>117</v>
      </c>
      <c r="D1086" s="14" t="s">
        <v>2452</v>
      </c>
      <c r="E1086" s="14" t="s">
        <v>2453</v>
      </c>
      <c r="F1086" s="15" t="str">
        <f>CONCATENATE(Tabla1[[#This Row],[NOMBRE_MPIO]]," (",Tabla1[[#This Row],[NOMBRE_DEPTO]],")")</f>
        <v>VILLAHERMOSA (TOLIMA)</v>
      </c>
      <c r="G1086" s="19" t="s">
        <v>2453</v>
      </c>
    </row>
    <row r="1087" spans="1:7" x14ac:dyDescent="0.15">
      <c r="A1087" s="19">
        <v>17</v>
      </c>
      <c r="B1087" s="14" t="s">
        <v>61</v>
      </c>
      <c r="C1087" s="14" t="s">
        <v>42</v>
      </c>
      <c r="D1087" s="14" t="s">
        <v>2454</v>
      </c>
      <c r="E1087" s="14" t="s">
        <v>2455</v>
      </c>
      <c r="F1087" s="15" t="str">
        <f>CONCATENATE(Tabla1[[#This Row],[NOMBRE_MPIO]]," (",Tabla1[[#This Row],[NOMBRE_DEPTO]],")")</f>
        <v>VILLAMARiA (CALDAS)</v>
      </c>
      <c r="G1087" s="19" t="s">
        <v>2455</v>
      </c>
    </row>
    <row r="1088" spans="1:7" x14ac:dyDescent="0.15">
      <c r="A1088" s="19">
        <v>13</v>
      </c>
      <c r="B1088" s="14" t="s">
        <v>37</v>
      </c>
      <c r="C1088" s="14" t="s">
        <v>250</v>
      </c>
      <c r="D1088" s="14" t="s">
        <v>2456</v>
      </c>
      <c r="E1088" s="14" t="s">
        <v>2457</v>
      </c>
      <c r="F1088" s="15" t="str">
        <f>CONCATENATE(Tabla1[[#This Row],[NOMBRE_MPIO]]," (",Tabla1[[#This Row],[NOMBRE_DEPTO]],")")</f>
        <v>VILLANUEVA (BOLIVAR)</v>
      </c>
      <c r="G1088" s="19" t="s">
        <v>2457</v>
      </c>
    </row>
    <row r="1089" spans="1:7" x14ac:dyDescent="0.15">
      <c r="A1089" s="19">
        <v>85</v>
      </c>
      <c r="B1089" s="14" t="s">
        <v>66</v>
      </c>
      <c r="C1089" s="14" t="s">
        <v>66</v>
      </c>
      <c r="D1089" s="14" t="s">
        <v>2456</v>
      </c>
      <c r="E1089" s="14" t="s">
        <v>2458</v>
      </c>
      <c r="F1089" s="15" t="str">
        <f>CONCATENATE(Tabla1[[#This Row],[NOMBRE_MPIO]]," (",Tabla1[[#This Row],[NOMBRE_DEPTO]],")")</f>
        <v>VILLANUEVA (CASANARE)</v>
      </c>
      <c r="G1089" s="19" t="s">
        <v>2458</v>
      </c>
    </row>
    <row r="1090" spans="1:7" x14ac:dyDescent="0.15">
      <c r="A1090" s="19">
        <v>44</v>
      </c>
      <c r="B1090" s="14" t="s">
        <v>87</v>
      </c>
      <c r="D1090" s="14" t="s">
        <v>2456</v>
      </c>
      <c r="E1090" s="14" t="s">
        <v>2459</v>
      </c>
      <c r="F1090" s="15" t="str">
        <f>CONCATENATE(Tabla1[[#This Row],[NOMBRE_MPIO]]," (",Tabla1[[#This Row],[NOMBRE_DEPTO]],")")</f>
        <v>VILLANUEVA (LA GUAJIRA)</v>
      </c>
      <c r="G1090" s="19" t="s">
        <v>2459</v>
      </c>
    </row>
    <row r="1091" spans="1:7" x14ac:dyDescent="0.15">
      <c r="A1091" s="19">
        <v>68</v>
      </c>
      <c r="B1091" s="14" t="s">
        <v>56</v>
      </c>
      <c r="D1091" s="14" t="s">
        <v>2456</v>
      </c>
      <c r="E1091" s="14" t="s">
        <v>2460</v>
      </c>
      <c r="F1091" s="15" t="str">
        <f>CONCATENATE(Tabla1[[#This Row],[NOMBRE_MPIO]]," (",Tabla1[[#This Row],[NOMBRE_DEPTO]],")")</f>
        <v>VILLANUEVA (SANTANDER)</v>
      </c>
      <c r="G1091" s="19" t="s">
        <v>2460</v>
      </c>
    </row>
    <row r="1092" spans="1:7" x14ac:dyDescent="0.15">
      <c r="A1092" s="19">
        <v>25</v>
      </c>
      <c r="B1092" s="14" t="s">
        <v>46</v>
      </c>
      <c r="D1092" s="14" t="s">
        <v>2461</v>
      </c>
      <c r="E1092" s="14" t="s">
        <v>2462</v>
      </c>
      <c r="F1092" s="15" t="str">
        <f>CONCATENATE(Tabla1[[#This Row],[NOMBRE_MPIO]]," (",Tabla1[[#This Row],[NOMBRE_DEPTO]],")")</f>
        <v>VILLAPINZÓN (CUNDINAMARCA)</v>
      </c>
      <c r="G1092" s="19" t="s">
        <v>2462</v>
      </c>
    </row>
    <row r="1093" spans="1:7" x14ac:dyDescent="0.15">
      <c r="A1093" s="19">
        <v>73</v>
      </c>
      <c r="B1093" s="14" t="s">
        <v>117</v>
      </c>
      <c r="D1093" s="14" t="s">
        <v>2463</v>
      </c>
      <c r="E1093" s="14" t="s">
        <v>2464</v>
      </c>
      <c r="F1093" s="15" t="str">
        <f>CONCATENATE(Tabla1[[#This Row],[NOMBRE_MPIO]]," (",Tabla1[[#This Row],[NOMBRE_DEPTO]],")")</f>
        <v>VILLARRICA (TOLIMA)</v>
      </c>
      <c r="G1093" s="19" t="s">
        <v>2464</v>
      </c>
    </row>
    <row r="1094" spans="1:7" x14ac:dyDescent="0.15">
      <c r="A1094" s="19">
        <v>50</v>
      </c>
      <c r="B1094" s="14" t="s">
        <v>22</v>
      </c>
      <c r="C1094" s="14" t="s">
        <v>257</v>
      </c>
      <c r="D1094" s="14" t="s">
        <v>2465</v>
      </c>
      <c r="E1094" s="14" t="s">
        <v>2466</v>
      </c>
      <c r="F1094" s="15" t="str">
        <f>CONCATENATE(Tabla1[[#This Row],[NOMBRE_MPIO]]," (",Tabla1[[#This Row],[NOMBRE_DEPTO]],")")</f>
        <v>VILLAVICENCIO (META)</v>
      </c>
      <c r="G1094" s="19" t="s">
        <v>2466</v>
      </c>
    </row>
    <row r="1095" spans="1:7" x14ac:dyDescent="0.15">
      <c r="A1095" s="19">
        <v>41</v>
      </c>
      <c r="B1095" s="14" t="s">
        <v>32</v>
      </c>
      <c r="D1095" s="14" t="s">
        <v>2467</v>
      </c>
      <c r="E1095" s="14" t="s">
        <v>2468</v>
      </c>
      <c r="F1095" s="15" t="str">
        <f>CONCATENATE(Tabla1[[#This Row],[NOMBRE_MPIO]]," (",Tabla1[[#This Row],[NOMBRE_DEPTO]],")")</f>
        <v>VILLAVIEJA (HUILA)</v>
      </c>
      <c r="G1095" s="19" t="s">
        <v>2468</v>
      </c>
    </row>
    <row r="1096" spans="1:7" x14ac:dyDescent="0.15">
      <c r="A1096" s="19">
        <v>25</v>
      </c>
      <c r="B1096" s="14" t="s">
        <v>46</v>
      </c>
      <c r="D1096" s="14" t="s">
        <v>2469</v>
      </c>
      <c r="E1096" s="14" t="s">
        <v>2470</v>
      </c>
      <c r="F1096" s="15" t="str">
        <f>CONCATENATE(Tabla1[[#This Row],[NOMBRE_MPIO]]," (",Tabla1[[#This Row],[NOMBRE_DEPTO]],")")</f>
        <v>VILLETA (CUNDINAMARCA)</v>
      </c>
      <c r="G1096" s="19" t="s">
        <v>2470</v>
      </c>
    </row>
    <row r="1097" spans="1:7" x14ac:dyDescent="0.15">
      <c r="A1097" s="19">
        <v>25</v>
      </c>
      <c r="B1097" s="14" t="s">
        <v>46</v>
      </c>
      <c r="D1097" s="14" t="s">
        <v>2471</v>
      </c>
      <c r="E1097" s="14" t="s">
        <v>2472</v>
      </c>
      <c r="F1097" s="15" t="str">
        <f>CONCATENATE(Tabla1[[#This Row],[NOMBRE_MPIO]]," (",Tabla1[[#This Row],[NOMBRE_DEPTO]],")")</f>
        <v>VIOTÁ (CUNDINAMARCA)</v>
      </c>
      <c r="G1097" s="19" t="s">
        <v>2472</v>
      </c>
    </row>
    <row r="1098" spans="1:7" x14ac:dyDescent="0.15">
      <c r="A1098" s="19">
        <v>15</v>
      </c>
      <c r="B1098" s="14" t="s">
        <v>113</v>
      </c>
      <c r="C1098" s="14" t="s">
        <v>418</v>
      </c>
      <c r="D1098" s="14" t="s">
        <v>2473</v>
      </c>
      <c r="E1098" s="14" t="s">
        <v>2474</v>
      </c>
      <c r="F1098" s="15" t="str">
        <f>CONCATENATE(Tabla1[[#This Row],[NOMBRE_MPIO]]," (",Tabla1[[#This Row],[NOMBRE_DEPTO]],")")</f>
        <v>VIRACACHÁ (BOYACÁ)</v>
      </c>
      <c r="G1098" s="19" t="s">
        <v>2474</v>
      </c>
    </row>
    <row r="1099" spans="1:7" x14ac:dyDescent="0.15">
      <c r="A1099" s="19">
        <v>50</v>
      </c>
      <c r="B1099" s="14" t="s">
        <v>22</v>
      </c>
      <c r="D1099" s="14" t="s">
        <v>2475</v>
      </c>
      <c r="E1099" s="14" t="s">
        <v>2476</v>
      </c>
      <c r="F1099" s="15" t="str">
        <f>CONCATENATE(Tabla1[[#This Row],[NOMBRE_MPIO]]," (",Tabla1[[#This Row],[NOMBRE_DEPTO]],")")</f>
        <v>VISTA HERMOSA (META)</v>
      </c>
      <c r="G1099" s="19" t="s">
        <v>2476</v>
      </c>
    </row>
    <row r="1100" spans="1:7" x14ac:dyDescent="0.15">
      <c r="A1100" s="19">
        <v>17</v>
      </c>
      <c r="B1100" s="14" t="s">
        <v>61</v>
      </c>
      <c r="C1100" s="14" t="s">
        <v>174</v>
      </c>
      <c r="D1100" s="14" t="s">
        <v>2477</v>
      </c>
      <c r="E1100" s="14" t="s">
        <v>2478</v>
      </c>
      <c r="F1100" s="15" t="str">
        <f>CONCATENATE(Tabla1[[#This Row],[NOMBRE_MPIO]]," (",Tabla1[[#This Row],[NOMBRE_DEPTO]],")")</f>
        <v>VITERBO (CALDAS)</v>
      </c>
      <c r="G1100" s="19" t="s">
        <v>2478</v>
      </c>
    </row>
    <row r="1101" spans="1:7" x14ac:dyDescent="0.15">
      <c r="A1101" s="19">
        <v>25</v>
      </c>
      <c r="B1101" s="14" t="s">
        <v>46</v>
      </c>
      <c r="D1101" s="14" t="s">
        <v>2479</v>
      </c>
      <c r="E1101" s="14" t="s">
        <v>2480</v>
      </c>
      <c r="F1101" s="15" t="str">
        <f>CONCATENATE(Tabla1[[#This Row],[NOMBRE_MPIO]]," (",Tabla1[[#This Row],[NOMBRE_DEPTO]],")")</f>
        <v>YACOPÍ (CUNDINAMARCA)</v>
      </c>
      <c r="G1101" s="19" t="s">
        <v>2480</v>
      </c>
    </row>
    <row r="1102" spans="1:7" x14ac:dyDescent="0.15">
      <c r="A1102" s="19">
        <v>52</v>
      </c>
      <c r="B1102" s="14" t="s">
        <v>80</v>
      </c>
      <c r="D1102" s="14" t="s">
        <v>2481</v>
      </c>
      <c r="E1102" s="14" t="s">
        <v>2482</v>
      </c>
      <c r="F1102" s="15" t="str">
        <f>CONCATENATE(Tabla1[[#This Row],[NOMBRE_MPIO]]," (",Tabla1[[#This Row],[NOMBRE_DEPTO]],")")</f>
        <v>YACUANQUER (NARIÑO)</v>
      </c>
      <c r="G1102" s="19" t="s">
        <v>2482</v>
      </c>
    </row>
    <row r="1103" spans="1:7" x14ac:dyDescent="0.15">
      <c r="A1103" s="19">
        <v>41</v>
      </c>
      <c r="B1103" s="14" t="s">
        <v>32</v>
      </c>
      <c r="D1103" s="14" t="s">
        <v>2483</v>
      </c>
      <c r="E1103" s="14" t="s">
        <v>2484</v>
      </c>
      <c r="F1103" s="15" t="str">
        <f>CONCATENATE(Tabla1[[#This Row],[NOMBRE_MPIO]]," (",Tabla1[[#This Row],[NOMBRE_DEPTO]],")")</f>
        <v>YAGUARÁ (HUILA)</v>
      </c>
      <c r="G1103" s="19" t="s">
        <v>2484</v>
      </c>
    </row>
    <row r="1104" spans="1:7" x14ac:dyDescent="0.15">
      <c r="A1104" s="19">
        <v>5</v>
      </c>
      <c r="B1104" s="14" t="s">
        <v>9</v>
      </c>
      <c r="C1104" s="14" t="s">
        <v>141</v>
      </c>
      <c r="D1104" s="14" t="s">
        <v>2485</v>
      </c>
      <c r="E1104" s="14" t="s">
        <v>2486</v>
      </c>
      <c r="F1104" s="15" t="str">
        <f>CONCATENATE(Tabla1[[#This Row],[NOMBRE_MPIO]]," (",Tabla1[[#This Row],[NOMBRE_DEPTO]],")")</f>
        <v>YALÍ (ANTIOQUIA)</v>
      </c>
      <c r="G1104" s="19" t="s">
        <v>2486</v>
      </c>
    </row>
    <row r="1105" spans="1:7" x14ac:dyDescent="0.15">
      <c r="A1105" s="19">
        <v>5</v>
      </c>
      <c r="B1105" s="14" t="s">
        <v>9</v>
      </c>
      <c r="C1105" s="14" t="s">
        <v>62</v>
      </c>
      <c r="D1105" s="14" t="s">
        <v>2487</v>
      </c>
      <c r="E1105" s="14" t="s">
        <v>2488</v>
      </c>
      <c r="F1105" s="15" t="str">
        <f>CONCATENATE(Tabla1[[#This Row],[NOMBRE_MPIO]]," (",Tabla1[[#This Row],[NOMBRE_DEPTO]],")")</f>
        <v>YARUMAL (ANTIOQUIA)</v>
      </c>
      <c r="G1105" s="19" t="s">
        <v>2488</v>
      </c>
    </row>
    <row r="1106" spans="1:7" x14ac:dyDescent="0.15">
      <c r="A1106" s="19">
        <v>97</v>
      </c>
      <c r="B1106" s="14" t="s">
        <v>622</v>
      </c>
      <c r="D1106" s="14" t="s">
        <v>2489</v>
      </c>
      <c r="E1106" s="14" t="s">
        <v>2490</v>
      </c>
      <c r="F1106" s="15" t="str">
        <f>CONCATENATE(Tabla1[[#This Row],[NOMBRE_MPIO]]," (",Tabla1[[#This Row],[NOMBRE_DEPTO]],")")</f>
        <v>YAVARATÉ (VAUPES)</v>
      </c>
      <c r="G1106" s="19" t="s">
        <v>2490</v>
      </c>
    </row>
    <row r="1107" spans="1:7" x14ac:dyDescent="0.15">
      <c r="A1107" s="19">
        <v>5</v>
      </c>
      <c r="B1107" s="14" t="s">
        <v>9</v>
      </c>
      <c r="C1107" s="14" t="s">
        <v>141</v>
      </c>
      <c r="D1107" s="14" t="s">
        <v>2491</v>
      </c>
      <c r="E1107" s="14" t="s">
        <v>2492</v>
      </c>
      <c r="F1107" s="15" t="str">
        <f>CONCATENATE(Tabla1[[#This Row],[NOMBRE_MPIO]]," (",Tabla1[[#This Row],[NOMBRE_DEPTO]],")")</f>
        <v>YOLOMBÓ (ANTIOQUIA)</v>
      </c>
      <c r="G1107" s="19" t="s">
        <v>2492</v>
      </c>
    </row>
    <row r="1108" spans="1:7" x14ac:dyDescent="0.15">
      <c r="A1108" s="19">
        <v>5</v>
      </c>
      <c r="B1108" s="14" t="s">
        <v>9</v>
      </c>
      <c r="C1108" s="14" t="s">
        <v>580</v>
      </c>
      <c r="D1108" s="14" t="s">
        <v>2493</v>
      </c>
      <c r="E1108" s="14" t="s">
        <v>2494</v>
      </c>
      <c r="F1108" s="15" t="str">
        <f>CONCATENATE(Tabla1[[#This Row],[NOMBRE_MPIO]]," (",Tabla1[[#This Row],[NOMBRE_DEPTO]],")")</f>
        <v>YONDÓ (ANTIOQUIA)</v>
      </c>
      <c r="G1108" s="19" t="s">
        <v>2494</v>
      </c>
    </row>
    <row r="1109" spans="1:7" x14ac:dyDescent="0.15">
      <c r="A1109" s="19">
        <v>85</v>
      </c>
      <c r="B1109" s="14" t="s">
        <v>66</v>
      </c>
      <c r="C1109" s="14" t="s">
        <v>66</v>
      </c>
      <c r="D1109" s="14" t="s">
        <v>2495</v>
      </c>
      <c r="E1109" s="14" t="s">
        <v>2496</v>
      </c>
      <c r="F1109" s="15" t="str">
        <f>CONCATENATE(Tabla1[[#This Row],[NOMBRE_MPIO]]," (",Tabla1[[#This Row],[NOMBRE_DEPTO]],")")</f>
        <v>YOPAL (CASANARE)</v>
      </c>
      <c r="G1109" s="19" t="s">
        <v>2496</v>
      </c>
    </row>
    <row r="1110" spans="1:7" x14ac:dyDescent="0.15">
      <c r="A1110" s="19">
        <v>76</v>
      </c>
      <c r="B1110" s="14" t="s">
        <v>92</v>
      </c>
      <c r="D1110" s="14" t="s">
        <v>2497</v>
      </c>
      <c r="E1110" s="14" t="s">
        <v>2498</v>
      </c>
      <c r="F1110" s="15" t="str">
        <f>CONCATENATE(Tabla1[[#This Row],[NOMBRE_MPIO]]," (",Tabla1[[#This Row],[NOMBRE_DEPTO]],")")</f>
        <v>YOTOCO (VALLE DEL CAUCA)</v>
      </c>
      <c r="G1110" s="19" t="s">
        <v>2498</v>
      </c>
    </row>
    <row r="1111" spans="1:7" x14ac:dyDescent="0.15">
      <c r="A1111" s="19">
        <v>76</v>
      </c>
      <c r="B1111" s="14" t="s">
        <v>92</v>
      </c>
      <c r="D1111" s="14" t="s">
        <v>2499</v>
      </c>
      <c r="E1111" s="14" t="s">
        <v>2500</v>
      </c>
      <c r="F1111" s="15" t="str">
        <f>CONCATENATE(Tabla1[[#This Row],[NOMBRE_MPIO]]," (",Tabla1[[#This Row],[NOMBRE_DEPTO]],")")</f>
        <v>YUMBO (VALLE DEL CAUCA)</v>
      </c>
      <c r="G1111" s="19" t="s">
        <v>2500</v>
      </c>
    </row>
    <row r="1112" spans="1:7" x14ac:dyDescent="0.15">
      <c r="A1112" s="19">
        <v>13</v>
      </c>
      <c r="B1112" s="14" t="s">
        <v>37</v>
      </c>
      <c r="C1112" s="14" t="s">
        <v>596</v>
      </c>
      <c r="D1112" s="14" t="s">
        <v>2501</v>
      </c>
      <c r="E1112" s="14" t="s">
        <v>2502</v>
      </c>
      <c r="F1112" s="15" t="str">
        <f>CONCATENATE(Tabla1[[#This Row],[NOMBRE_MPIO]]," (",Tabla1[[#This Row],[NOMBRE_DEPTO]],")")</f>
        <v>ZAMBRANO (BOLIVAR)</v>
      </c>
      <c r="G1112" s="19" t="s">
        <v>2502</v>
      </c>
    </row>
    <row r="1113" spans="1:7" x14ac:dyDescent="0.15">
      <c r="A1113" s="19">
        <v>68</v>
      </c>
      <c r="B1113" s="14" t="s">
        <v>56</v>
      </c>
      <c r="D1113" s="14" t="s">
        <v>2503</v>
      </c>
      <c r="E1113" s="14" t="s">
        <v>2504</v>
      </c>
      <c r="F1113" s="15" t="str">
        <f>CONCATENATE(Tabla1[[#This Row],[NOMBRE_MPIO]]," (",Tabla1[[#This Row],[NOMBRE_DEPTO]],")")</f>
        <v>ZAPATOCA (SANTANDER)</v>
      </c>
      <c r="G1113" s="19" t="s">
        <v>2504</v>
      </c>
    </row>
    <row r="1114" spans="1:7" x14ac:dyDescent="0.15">
      <c r="A1114" s="19">
        <v>47</v>
      </c>
      <c r="B1114" s="14" t="s">
        <v>102</v>
      </c>
      <c r="D1114" s="14" t="s">
        <v>2505</v>
      </c>
      <c r="E1114" s="14" t="s">
        <v>2506</v>
      </c>
      <c r="F1114" s="15" t="str">
        <f>CONCATENATE(Tabla1[[#This Row],[NOMBRE_MPIO]]," (",Tabla1[[#This Row],[NOMBRE_DEPTO]],")")</f>
        <v>ZAPAYAN (MAGDALENA)</v>
      </c>
      <c r="G1114" s="19" t="s">
        <v>2506</v>
      </c>
    </row>
    <row r="1115" spans="1:7" x14ac:dyDescent="0.15">
      <c r="A1115" s="19">
        <v>5</v>
      </c>
      <c r="B1115" s="14" t="s">
        <v>9</v>
      </c>
      <c r="C1115" s="14" t="s">
        <v>477</v>
      </c>
      <c r="D1115" s="14" t="s">
        <v>2507</v>
      </c>
      <c r="E1115" s="14" t="s">
        <v>2508</v>
      </c>
      <c r="F1115" s="15" t="str">
        <f>CONCATENATE(Tabla1[[#This Row],[NOMBRE_MPIO]]," (",Tabla1[[#This Row],[NOMBRE_DEPTO]],")")</f>
        <v>ZARAGOZA (ANTIOQUIA)</v>
      </c>
      <c r="G1115" s="19" t="s">
        <v>2508</v>
      </c>
    </row>
    <row r="1116" spans="1:7" x14ac:dyDescent="0.15">
      <c r="A1116" s="19">
        <v>76</v>
      </c>
      <c r="B1116" s="14" t="s">
        <v>92</v>
      </c>
      <c r="D1116" s="14" t="s">
        <v>2509</v>
      </c>
      <c r="E1116" s="14" t="s">
        <v>2510</v>
      </c>
      <c r="F1116" s="15" t="str">
        <f>CONCATENATE(Tabla1[[#This Row],[NOMBRE_MPIO]]," (",Tabla1[[#This Row],[NOMBRE_DEPTO]],")")</f>
        <v>ZARZAL (VALLE DEL CAUCA)</v>
      </c>
      <c r="G1116" s="19" t="s">
        <v>2510</v>
      </c>
    </row>
    <row r="1117" spans="1:7" x14ac:dyDescent="0.15">
      <c r="A1117" s="19">
        <v>15</v>
      </c>
      <c r="B1117" s="14" t="s">
        <v>113</v>
      </c>
      <c r="C1117" s="14" t="s">
        <v>370</v>
      </c>
      <c r="D1117" s="14" t="s">
        <v>2511</v>
      </c>
      <c r="E1117" s="14" t="s">
        <v>2512</v>
      </c>
      <c r="F1117" s="15" t="str">
        <f>CONCATENATE(Tabla1[[#This Row],[NOMBRE_MPIO]]," (",Tabla1[[#This Row],[NOMBRE_DEPTO]],")")</f>
        <v>ZETAQUIRA (BOYACÁ)</v>
      </c>
      <c r="G1117" s="19" t="s">
        <v>2512</v>
      </c>
    </row>
    <row r="1118" spans="1:7" x14ac:dyDescent="0.15">
      <c r="A1118" s="19">
        <v>25</v>
      </c>
      <c r="B1118" s="14" t="s">
        <v>46</v>
      </c>
      <c r="D1118" s="14" t="s">
        <v>2513</v>
      </c>
      <c r="E1118" s="14" t="s">
        <v>2514</v>
      </c>
      <c r="F1118" s="15" t="str">
        <f>CONCATENATE(Tabla1[[#This Row],[NOMBRE_MPIO]]," (",Tabla1[[#This Row],[NOMBRE_DEPTO]],")")</f>
        <v>ZIPACoN (CUNDINAMARCA)</v>
      </c>
      <c r="G1118" s="19" t="s">
        <v>2514</v>
      </c>
    </row>
    <row r="1119" spans="1:7" x14ac:dyDescent="0.15">
      <c r="A1119" s="19">
        <v>25</v>
      </c>
      <c r="B1119" s="14" t="s">
        <v>46</v>
      </c>
      <c r="D1119" s="14" t="s">
        <v>2515</v>
      </c>
      <c r="E1119" s="14" t="s">
        <v>2516</v>
      </c>
      <c r="F1119" s="15" t="str">
        <f>CONCATENATE(Tabla1[[#This Row],[NOMBRE_MPIO]]," (",Tabla1[[#This Row],[NOMBRE_DEPTO]],")")</f>
        <v>ZIPAQUIRÁ (CUNDINAMARCA)</v>
      </c>
      <c r="G1119" s="19" t="s">
        <v>2516</v>
      </c>
    </row>
    <row r="1120" spans="1:7" x14ac:dyDescent="0.15">
      <c r="A1120" s="19">
        <v>47</v>
      </c>
      <c r="B1120" s="14" t="s">
        <v>102</v>
      </c>
      <c r="D1120" s="14" t="s">
        <v>2517</v>
      </c>
      <c r="E1120" s="14" t="s">
        <v>2518</v>
      </c>
      <c r="F1120" s="15" t="str">
        <f>CONCATENATE(Tabla1[[#This Row],[NOMBRE_MPIO]]," (",Tabla1[[#This Row],[NOMBRE_DEPTO]],")")</f>
        <v>ZONA BANANERA (MAGDALENA)</v>
      </c>
      <c r="G1120" s="19" t="s">
        <v>2518</v>
      </c>
    </row>
  </sheetData>
  <sortState xmlns:xlrd2="http://schemas.microsoft.com/office/spreadsheetml/2017/richdata2" ref="I2:J251">
    <sortCondition ref="I2:I251"/>
  </sortState>
  <pageMargins left="0.7" right="0.7" top="0.75" bottom="0.75" header="0.3" footer="0.3"/>
  <ignoredErrors>
    <ignoredError sqref="G8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DFF8-92E1-440E-AAC3-AD64D81F1CE2}">
  <dimension ref="A1:F138"/>
  <sheetViews>
    <sheetView tabSelected="1" workbookViewId="0">
      <pane ySplit="1" topLeftCell="A5" activePane="bottomLeft" state="frozen"/>
      <selection activeCell="H1" sqref="H1"/>
      <selection pane="bottomLeft" activeCell="E142" sqref="E142"/>
    </sheetView>
  </sheetViews>
  <sheetFormatPr baseColWidth="10" defaultRowHeight="15" customHeight="1" x14ac:dyDescent="0.2"/>
  <cols>
    <col min="1" max="1" width="10.83203125" style="92"/>
    <col min="2" max="2" width="43.5" customWidth="1"/>
    <col min="3" max="3" width="47.6640625" customWidth="1"/>
    <col min="4" max="4" width="80.33203125" style="92" customWidth="1"/>
    <col min="5" max="5" width="37.5" style="92" customWidth="1"/>
    <col min="6" max="6" width="15.1640625" style="92" customWidth="1"/>
  </cols>
  <sheetData>
    <row r="1" spans="1:6" ht="15" customHeight="1" x14ac:dyDescent="0.2">
      <c r="A1" s="88" t="s">
        <v>2519</v>
      </c>
      <c r="B1" s="87" t="s">
        <v>2520</v>
      </c>
      <c r="C1" s="94" t="s">
        <v>3058</v>
      </c>
      <c r="D1" s="93" t="s">
        <v>2522</v>
      </c>
      <c r="E1" s="93" t="s">
        <v>2869</v>
      </c>
      <c r="F1" s="93" t="s">
        <v>2870</v>
      </c>
    </row>
    <row r="2" spans="1:6" ht="15" customHeight="1" x14ac:dyDescent="0.2">
      <c r="A2" s="89" t="s">
        <v>2531</v>
      </c>
      <c r="B2" s="86" t="s">
        <v>2532</v>
      </c>
      <c r="C2" s="85" t="s">
        <v>3061</v>
      </c>
      <c r="D2" s="89" t="s">
        <v>2533</v>
      </c>
      <c r="E2" s="89" t="s">
        <v>2898</v>
      </c>
      <c r="F2" s="89">
        <v>57194034904</v>
      </c>
    </row>
    <row r="3" spans="1:6" ht="15" customHeight="1" x14ac:dyDescent="0.2">
      <c r="A3" s="89" t="s">
        <v>2528</v>
      </c>
      <c r="B3" s="85" t="s">
        <v>2529</v>
      </c>
      <c r="C3" s="85" t="s">
        <v>3061</v>
      </c>
      <c r="D3" s="89" t="s">
        <v>2530</v>
      </c>
      <c r="E3" s="89" t="s">
        <v>2878</v>
      </c>
      <c r="F3" s="89">
        <v>24329839300</v>
      </c>
    </row>
    <row r="4" spans="1:6" ht="15" customHeight="1" x14ac:dyDescent="0.2">
      <c r="A4" s="89" t="s">
        <v>2538</v>
      </c>
      <c r="B4" s="85" t="s">
        <v>2539</v>
      </c>
      <c r="C4" s="85" t="s">
        <v>2874</v>
      </c>
      <c r="D4" s="89" t="s">
        <v>2541</v>
      </c>
      <c r="E4" s="89" t="s">
        <v>2916</v>
      </c>
      <c r="F4" s="89">
        <v>36142156300</v>
      </c>
    </row>
    <row r="5" spans="1:6" ht="15" customHeight="1" x14ac:dyDescent="0.2">
      <c r="A5" s="90" t="s">
        <v>2523</v>
      </c>
      <c r="B5" s="86" t="s">
        <v>2524</v>
      </c>
      <c r="C5" s="85" t="s">
        <v>3060</v>
      </c>
      <c r="D5" s="89" t="s">
        <v>2525</v>
      </c>
      <c r="E5" s="89" t="s">
        <v>2941</v>
      </c>
      <c r="F5" s="89">
        <v>57156565000</v>
      </c>
    </row>
    <row r="6" spans="1:6" ht="15" customHeight="1" x14ac:dyDescent="0.2">
      <c r="A6" s="89" t="s">
        <v>2557</v>
      </c>
      <c r="B6" s="86" t="s">
        <v>2558</v>
      </c>
      <c r="C6" s="85" t="s">
        <v>3060</v>
      </c>
      <c r="D6" s="89" t="s">
        <v>2559</v>
      </c>
      <c r="E6" s="89" t="s">
        <v>2925</v>
      </c>
      <c r="F6" s="89">
        <v>57193012270</v>
      </c>
    </row>
    <row r="7" spans="1:6" ht="15" customHeight="1" x14ac:dyDescent="0.2">
      <c r="A7" s="89" t="s">
        <v>2554</v>
      </c>
      <c r="B7" s="85" t="s">
        <v>2555</v>
      </c>
      <c r="C7" s="85" t="s">
        <v>3060</v>
      </c>
      <c r="D7" s="89" t="s">
        <v>2556</v>
      </c>
      <c r="E7" s="89" t="s">
        <v>2885</v>
      </c>
      <c r="F7" s="89">
        <v>57191333650</v>
      </c>
    </row>
    <row r="8" spans="1:6" ht="15" customHeight="1" x14ac:dyDescent="0.2">
      <c r="A8" s="89" t="s">
        <v>2560</v>
      </c>
      <c r="B8" s="85" t="s">
        <v>2561</v>
      </c>
      <c r="C8" s="85" t="s">
        <v>2874</v>
      </c>
      <c r="D8" s="89" t="s">
        <v>2562</v>
      </c>
      <c r="E8" s="89" t="s">
        <v>2933</v>
      </c>
      <c r="F8" s="89">
        <v>56674579200</v>
      </c>
    </row>
    <row r="9" spans="1:6" ht="15" customHeight="1" x14ac:dyDescent="0.2">
      <c r="A9" s="89" t="s">
        <v>2534</v>
      </c>
      <c r="B9" s="86" t="s">
        <v>2535</v>
      </c>
      <c r="C9" s="85" t="s">
        <v>3061</v>
      </c>
      <c r="D9" s="89" t="s">
        <v>2537</v>
      </c>
      <c r="E9" s="89" t="s">
        <v>2935</v>
      </c>
      <c r="F9" s="89">
        <v>57210822856</v>
      </c>
    </row>
    <row r="10" spans="1:6" ht="15" customHeight="1" x14ac:dyDescent="0.2">
      <c r="A10" s="89" t="s">
        <v>2543</v>
      </c>
      <c r="B10" s="85" t="s">
        <v>2544</v>
      </c>
      <c r="C10" s="85" t="s">
        <v>3061</v>
      </c>
      <c r="D10" s="89" t="s">
        <v>2546</v>
      </c>
      <c r="E10" s="89" t="s">
        <v>2901</v>
      </c>
      <c r="F10" s="89">
        <v>24537991200</v>
      </c>
    </row>
    <row r="11" spans="1:6" ht="15" customHeight="1" x14ac:dyDescent="0.2">
      <c r="A11" s="89" t="s">
        <v>3056</v>
      </c>
      <c r="B11" s="85" t="s">
        <v>3053</v>
      </c>
      <c r="C11" s="85" t="s">
        <v>3060</v>
      </c>
      <c r="D11" s="91" t="s">
        <v>3063</v>
      </c>
      <c r="E11" s="89" t="s">
        <v>3064</v>
      </c>
      <c r="F11" s="89">
        <v>35788581800</v>
      </c>
    </row>
    <row r="12" spans="1:6" ht="15" customHeight="1" x14ac:dyDescent="0.2">
      <c r="A12" s="89" t="s">
        <v>2547</v>
      </c>
      <c r="B12" s="86" t="s">
        <v>2548</v>
      </c>
      <c r="C12" s="85" t="s">
        <v>3060</v>
      </c>
      <c r="D12" s="89" t="s">
        <v>2549</v>
      </c>
      <c r="E12" s="89" t="s">
        <v>2914</v>
      </c>
      <c r="F12" s="89">
        <v>26325154200</v>
      </c>
    </row>
    <row r="13" spans="1:6" ht="15" customHeight="1" x14ac:dyDescent="0.2">
      <c r="A13" s="89" t="s">
        <v>2845</v>
      </c>
      <c r="B13" s="86" t="s">
        <v>2846</v>
      </c>
      <c r="C13" s="85" t="s">
        <v>3061</v>
      </c>
      <c r="D13" s="99" t="s">
        <v>3052</v>
      </c>
      <c r="E13" s="90" t="s">
        <v>3119</v>
      </c>
      <c r="F13" s="89">
        <v>57117284600</v>
      </c>
    </row>
    <row r="14" spans="1:6" ht="15" customHeight="1" x14ac:dyDescent="0.2">
      <c r="A14" s="89" t="s">
        <v>2563</v>
      </c>
      <c r="B14" s="85" t="s">
        <v>2564</v>
      </c>
      <c r="C14" s="85" t="s">
        <v>2874</v>
      </c>
      <c r="D14" s="89" t="s">
        <v>2566</v>
      </c>
      <c r="E14" s="89" t="s">
        <v>2888</v>
      </c>
      <c r="F14" s="89">
        <v>55649334800</v>
      </c>
    </row>
    <row r="15" spans="1:6" ht="15" customHeight="1" x14ac:dyDescent="0.2">
      <c r="A15" s="89" t="s">
        <v>2550</v>
      </c>
      <c r="B15" s="86" t="s">
        <v>2551</v>
      </c>
      <c r="C15" s="85" t="s">
        <v>3061</v>
      </c>
      <c r="D15" s="89" t="s">
        <v>2553</v>
      </c>
      <c r="E15" s="89" t="s">
        <v>2913</v>
      </c>
      <c r="F15" s="89">
        <v>7005142049</v>
      </c>
    </row>
    <row r="16" spans="1:6" ht="15" customHeight="1" x14ac:dyDescent="0.2">
      <c r="A16" s="90" t="s">
        <v>2579</v>
      </c>
      <c r="B16" s="85" t="s">
        <v>2580</v>
      </c>
      <c r="C16" s="85" t="s">
        <v>3060</v>
      </c>
      <c r="D16" s="89" t="s">
        <v>2581</v>
      </c>
      <c r="E16" s="89" t="s">
        <v>2893</v>
      </c>
      <c r="F16" s="89">
        <v>57202285682</v>
      </c>
    </row>
    <row r="17" spans="1:6" ht="15" customHeight="1" x14ac:dyDescent="0.2">
      <c r="A17" s="89" t="s">
        <v>2576</v>
      </c>
      <c r="B17" s="86" t="s">
        <v>2577</v>
      </c>
      <c r="C17" s="85" t="s">
        <v>3061</v>
      </c>
      <c r="D17" s="89" t="s">
        <v>2578</v>
      </c>
      <c r="E17" s="89" t="s">
        <v>3048</v>
      </c>
      <c r="F17" s="89">
        <v>56581610900</v>
      </c>
    </row>
    <row r="18" spans="1:6" ht="15" customHeight="1" x14ac:dyDescent="0.2">
      <c r="A18" s="89" t="s">
        <v>2582</v>
      </c>
      <c r="B18" s="86" t="s">
        <v>2583</v>
      </c>
      <c r="C18" s="85" t="s">
        <v>3059</v>
      </c>
      <c r="D18" s="89" t="s">
        <v>2584</v>
      </c>
      <c r="E18" s="89" t="s">
        <v>2931</v>
      </c>
      <c r="F18" s="89">
        <v>57196040759</v>
      </c>
    </row>
    <row r="19" spans="1:6" ht="15" customHeight="1" x14ac:dyDescent="0.2">
      <c r="A19" s="89" t="s">
        <v>2628</v>
      </c>
      <c r="B19" s="86" t="s">
        <v>2629</v>
      </c>
      <c r="C19" s="85" t="s">
        <v>3060</v>
      </c>
      <c r="D19" s="89" t="s">
        <v>2630</v>
      </c>
      <c r="E19" s="89" t="s">
        <v>2937</v>
      </c>
      <c r="F19" s="89">
        <v>57206773929</v>
      </c>
    </row>
    <row r="20" spans="1:6" ht="15" customHeight="1" x14ac:dyDescent="0.2">
      <c r="A20" s="89" t="s">
        <v>2645</v>
      </c>
      <c r="B20" s="85" t="s">
        <v>2646</v>
      </c>
      <c r="C20" s="85" t="s">
        <v>2874</v>
      </c>
      <c r="D20" s="89" t="s">
        <v>2647</v>
      </c>
      <c r="E20" s="89" t="s">
        <v>2938</v>
      </c>
      <c r="F20" s="89">
        <v>57220077867</v>
      </c>
    </row>
    <row r="21" spans="1:6" ht="15" customHeight="1" x14ac:dyDescent="0.2">
      <c r="A21" s="89" t="s">
        <v>3082</v>
      </c>
      <c r="B21" s="85" t="s">
        <v>3091</v>
      </c>
      <c r="C21" s="85" t="s">
        <v>3061</v>
      </c>
      <c r="D21" s="91" t="s">
        <v>3105</v>
      </c>
      <c r="E21" s="89" t="s">
        <v>3106</v>
      </c>
      <c r="F21" s="89">
        <v>57197028938</v>
      </c>
    </row>
    <row r="22" spans="1:6" ht="15" customHeight="1" x14ac:dyDescent="0.2">
      <c r="A22" s="89" t="s">
        <v>2573</v>
      </c>
      <c r="B22" s="85" t="s">
        <v>2574</v>
      </c>
      <c r="C22" s="85" t="s">
        <v>3061</v>
      </c>
      <c r="D22" s="89" t="s">
        <v>2575</v>
      </c>
      <c r="E22" s="89" t="s">
        <v>2887</v>
      </c>
      <c r="F22" s="89">
        <v>57024211000</v>
      </c>
    </row>
    <row r="23" spans="1:6" ht="15" customHeight="1" x14ac:dyDescent="0.2">
      <c r="A23" s="89" t="s">
        <v>2603</v>
      </c>
      <c r="B23" s="85" t="s">
        <v>2604</v>
      </c>
      <c r="C23" s="85" t="s">
        <v>3061</v>
      </c>
      <c r="D23" s="89" t="s">
        <v>2605</v>
      </c>
      <c r="E23" s="89" t="s">
        <v>2879</v>
      </c>
      <c r="F23" s="89">
        <v>56801043600</v>
      </c>
    </row>
    <row r="24" spans="1:6" ht="15" customHeight="1" x14ac:dyDescent="0.2">
      <c r="A24" s="89" t="s">
        <v>2642</v>
      </c>
      <c r="B24" s="85" t="s">
        <v>2643</v>
      </c>
      <c r="C24" s="85" t="s">
        <v>3059</v>
      </c>
      <c r="D24" s="89" t="s">
        <v>2644</v>
      </c>
      <c r="E24" s="89" t="s">
        <v>2895</v>
      </c>
      <c r="F24" s="89">
        <v>57223851529</v>
      </c>
    </row>
    <row r="25" spans="1:6" ht="15" customHeight="1" x14ac:dyDescent="0.2">
      <c r="A25" s="90" t="s">
        <v>2585</v>
      </c>
      <c r="B25" s="86" t="s">
        <v>2586</v>
      </c>
      <c r="C25" s="85" t="s">
        <v>3060</v>
      </c>
      <c r="D25" s="89" t="s">
        <v>2587</v>
      </c>
      <c r="E25" s="89" t="s">
        <v>2900</v>
      </c>
      <c r="F25" s="89">
        <v>57220927199</v>
      </c>
    </row>
    <row r="26" spans="1:6" ht="15" customHeight="1" x14ac:dyDescent="0.2">
      <c r="A26" s="89" t="s">
        <v>2658</v>
      </c>
      <c r="B26" s="85" t="s">
        <v>2659</v>
      </c>
      <c r="C26" s="85" t="s">
        <v>3059</v>
      </c>
      <c r="D26" s="89" t="s">
        <v>2660</v>
      </c>
      <c r="E26" s="89" t="s">
        <v>2903</v>
      </c>
      <c r="F26" s="89">
        <v>57322375300</v>
      </c>
    </row>
    <row r="27" spans="1:6" ht="15" customHeight="1" x14ac:dyDescent="0.2">
      <c r="A27" s="89" t="s">
        <v>2615</v>
      </c>
      <c r="B27" s="85" t="s">
        <v>2616</v>
      </c>
      <c r="C27" s="85" t="s">
        <v>3061</v>
      </c>
      <c r="D27" s="89" t="s">
        <v>2617</v>
      </c>
      <c r="E27" s="89" t="s">
        <v>2920</v>
      </c>
      <c r="F27" s="89">
        <v>56682785300</v>
      </c>
    </row>
    <row r="28" spans="1:6" ht="15" customHeight="1" x14ac:dyDescent="0.2">
      <c r="A28" s="89" t="s">
        <v>2635</v>
      </c>
      <c r="B28" s="86" t="s">
        <v>2636</v>
      </c>
      <c r="C28" s="85" t="s">
        <v>3061</v>
      </c>
      <c r="D28" s="89" t="s">
        <v>2638</v>
      </c>
      <c r="E28" s="89" t="s">
        <v>2923</v>
      </c>
      <c r="F28" s="89">
        <v>57219403758</v>
      </c>
    </row>
    <row r="29" spans="1:6" ht="15" customHeight="1" x14ac:dyDescent="0.2">
      <c r="A29" s="89" t="s">
        <v>2526</v>
      </c>
      <c r="B29" s="86" t="s">
        <v>2911</v>
      </c>
      <c r="C29" s="86" t="s">
        <v>3061</v>
      </c>
      <c r="D29" s="91" t="s">
        <v>2527</v>
      </c>
      <c r="E29" s="89" t="s">
        <v>2912</v>
      </c>
      <c r="F29" s="89">
        <v>14622047600</v>
      </c>
    </row>
    <row r="30" spans="1:6" ht="15" customHeight="1" x14ac:dyDescent="0.2">
      <c r="A30" s="89" t="s">
        <v>2567</v>
      </c>
      <c r="B30" s="86" t="s">
        <v>2568</v>
      </c>
      <c r="C30" s="85" t="s">
        <v>3061</v>
      </c>
      <c r="D30" s="89" t="s">
        <v>2569</v>
      </c>
      <c r="E30" s="89" t="s">
        <v>2924</v>
      </c>
      <c r="F30" s="89">
        <v>55872162200</v>
      </c>
    </row>
    <row r="31" spans="1:6" ht="15" customHeight="1" x14ac:dyDescent="0.2">
      <c r="A31" s="89" t="s">
        <v>2606</v>
      </c>
      <c r="B31" s="85" t="s">
        <v>2607</v>
      </c>
      <c r="C31" s="86" t="s">
        <v>3059</v>
      </c>
      <c r="D31" s="89" t="s">
        <v>2608</v>
      </c>
      <c r="E31" s="89" t="s">
        <v>2884</v>
      </c>
      <c r="F31" s="89">
        <v>56380539800</v>
      </c>
    </row>
    <row r="32" spans="1:6" ht="15" customHeight="1" x14ac:dyDescent="0.2">
      <c r="A32" s="89" t="s">
        <v>2570</v>
      </c>
      <c r="B32" s="85" t="s">
        <v>2571</v>
      </c>
      <c r="C32" s="85" t="s">
        <v>2874</v>
      </c>
      <c r="D32" s="89" t="s">
        <v>2572</v>
      </c>
      <c r="E32" s="89" t="s">
        <v>2890</v>
      </c>
      <c r="F32" s="89">
        <v>57188841051</v>
      </c>
    </row>
    <row r="33" spans="1:6" ht="15" customHeight="1" x14ac:dyDescent="0.2">
      <c r="A33" s="89" t="s">
        <v>2598</v>
      </c>
      <c r="B33" s="85" t="s">
        <v>2599</v>
      </c>
      <c r="C33" s="85" t="s">
        <v>2874</v>
      </c>
      <c r="D33" s="89" t="s">
        <v>2602</v>
      </c>
      <c r="E33" s="89" t="s">
        <v>2905</v>
      </c>
      <c r="F33" s="89">
        <v>57350116000</v>
      </c>
    </row>
    <row r="34" spans="1:6" ht="15" customHeight="1" x14ac:dyDescent="0.2">
      <c r="A34" s="89" t="s">
        <v>2588</v>
      </c>
      <c r="B34" s="86" t="s">
        <v>2589</v>
      </c>
      <c r="C34" s="85" t="s">
        <v>3059</v>
      </c>
      <c r="D34" s="89" t="s">
        <v>2590</v>
      </c>
      <c r="E34" s="89" t="s">
        <v>2915</v>
      </c>
      <c r="F34" s="89">
        <v>57192930752</v>
      </c>
    </row>
    <row r="35" spans="1:6" ht="15" customHeight="1" x14ac:dyDescent="0.2">
      <c r="A35" s="89" t="s">
        <v>2625</v>
      </c>
      <c r="B35" s="85" t="s">
        <v>2626</v>
      </c>
      <c r="C35" s="85" t="s">
        <v>3061</v>
      </c>
      <c r="D35" s="89" t="s">
        <v>2627</v>
      </c>
      <c r="E35" s="89" t="s">
        <v>2926</v>
      </c>
      <c r="F35" s="89">
        <v>57200615582</v>
      </c>
    </row>
    <row r="36" spans="1:6" ht="15" customHeight="1" x14ac:dyDescent="0.2">
      <c r="A36" s="89" t="s">
        <v>2648</v>
      </c>
      <c r="B36" s="85" t="s">
        <v>3071</v>
      </c>
      <c r="C36" s="85" t="s">
        <v>3059</v>
      </c>
      <c r="D36" s="89" t="s">
        <v>2651</v>
      </c>
      <c r="E36" s="89" t="s">
        <v>2871</v>
      </c>
      <c r="F36" s="89">
        <v>58660078000</v>
      </c>
    </row>
    <row r="37" spans="1:6" ht="15" customHeight="1" x14ac:dyDescent="0.2">
      <c r="A37" s="89" t="s">
        <v>2612</v>
      </c>
      <c r="B37" s="86" t="s">
        <v>2613</v>
      </c>
      <c r="C37" s="85" t="s">
        <v>2874</v>
      </c>
      <c r="D37" s="89" t="s">
        <v>2614</v>
      </c>
      <c r="E37" s="89" t="s">
        <v>2875</v>
      </c>
      <c r="F37" s="89">
        <v>57190688459</v>
      </c>
    </row>
    <row r="38" spans="1:6" ht="15" customHeight="1" x14ac:dyDescent="0.2">
      <c r="A38" s="89" t="s">
        <v>2591</v>
      </c>
      <c r="B38" s="85" t="s">
        <v>2592</v>
      </c>
      <c r="C38" s="85" t="s">
        <v>3061</v>
      </c>
      <c r="D38" s="89" t="s">
        <v>2594</v>
      </c>
      <c r="E38" s="89" t="s">
        <v>2881</v>
      </c>
      <c r="F38" s="89">
        <v>55258973100</v>
      </c>
    </row>
    <row r="39" spans="1:6" ht="15" customHeight="1" x14ac:dyDescent="0.2">
      <c r="A39" s="89" t="s">
        <v>2674</v>
      </c>
      <c r="B39" s="86" t="s">
        <v>2675</v>
      </c>
      <c r="C39" s="85" t="s">
        <v>3059</v>
      </c>
      <c r="D39" s="89" t="s">
        <v>2676</v>
      </c>
      <c r="E39" s="89" t="s">
        <v>2917</v>
      </c>
      <c r="F39" s="89">
        <v>57392556500</v>
      </c>
    </row>
    <row r="40" spans="1:6" ht="15" customHeight="1" x14ac:dyDescent="0.2">
      <c r="A40" s="89" t="s">
        <v>2661</v>
      </c>
      <c r="B40" s="85" t="s">
        <v>2662</v>
      </c>
      <c r="C40" s="85" t="s">
        <v>3059</v>
      </c>
      <c r="D40" s="89" t="s">
        <v>2663</v>
      </c>
      <c r="E40" s="89" t="s">
        <v>2877</v>
      </c>
      <c r="F40" s="89">
        <v>57208719994</v>
      </c>
    </row>
    <row r="41" spans="1:6" ht="15" customHeight="1" x14ac:dyDescent="0.2">
      <c r="A41" s="89" t="s">
        <v>2704</v>
      </c>
      <c r="B41" s="86" t="s">
        <v>2705</v>
      </c>
      <c r="C41" s="85" t="s">
        <v>3059</v>
      </c>
      <c r="D41" s="89" t="s">
        <v>2706</v>
      </c>
      <c r="E41" s="89" t="s">
        <v>2907</v>
      </c>
      <c r="F41" s="89">
        <v>58068307100</v>
      </c>
    </row>
    <row r="42" spans="1:6" ht="15" customHeight="1" x14ac:dyDescent="0.2">
      <c r="A42" s="89" t="s">
        <v>3083</v>
      </c>
      <c r="B42" s="85" t="s">
        <v>3092</v>
      </c>
      <c r="C42" s="85" t="s">
        <v>3061</v>
      </c>
      <c r="D42" s="91" t="s">
        <v>3107</v>
      </c>
      <c r="E42" s="89" t="s">
        <v>3103</v>
      </c>
      <c r="F42" s="89">
        <v>57804909800</v>
      </c>
    </row>
    <row r="43" spans="1:6" ht="15" customHeight="1" x14ac:dyDescent="0.2">
      <c r="A43" s="89" t="s">
        <v>2671</v>
      </c>
      <c r="B43" s="85" t="s">
        <v>2672</v>
      </c>
      <c r="C43" s="85" t="s">
        <v>3061</v>
      </c>
      <c r="D43" s="89" t="s">
        <v>2673</v>
      </c>
      <c r="E43" s="89" t="s">
        <v>2934</v>
      </c>
      <c r="F43" s="89">
        <v>57218294431</v>
      </c>
    </row>
    <row r="44" spans="1:6" ht="15" customHeight="1" x14ac:dyDescent="0.2">
      <c r="A44" s="89" t="s">
        <v>2667</v>
      </c>
      <c r="B44" s="86" t="s">
        <v>2668</v>
      </c>
      <c r="C44" s="85" t="s">
        <v>3059</v>
      </c>
      <c r="D44" s="89" t="s">
        <v>2670</v>
      </c>
      <c r="E44" s="89" t="s">
        <v>2936</v>
      </c>
      <c r="F44" s="89">
        <v>57204842254</v>
      </c>
    </row>
    <row r="45" spans="1:6" ht="15" customHeight="1" x14ac:dyDescent="0.2">
      <c r="A45" s="89" t="s">
        <v>2618</v>
      </c>
      <c r="B45" s="85" t="s">
        <v>2619</v>
      </c>
      <c r="C45" s="85" t="s">
        <v>2874</v>
      </c>
      <c r="D45" s="89" t="s">
        <v>2621</v>
      </c>
      <c r="E45" s="89" t="s">
        <v>2897</v>
      </c>
      <c r="F45" s="89">
        <v>57203321995</v>
      </c>
    </row>
    <row r="46" spans="1:6" ht="15" customHeight="1" x14ac:dyDescent="0.2">
      <c r="A46" s="89" t="s">
        <v>2595</v>
      </c>
      <c r="B46" s="86" t="s">
        <v>2596</v>
      </c>
      <c r="C46" s="85" t="s">
        <v>3061</v>
      </c>
      <c r="D46" s="89" t="s">
        <v>2597</v>
      </c>
      <c r="E46" s="89" t="s">
        <v>2929</v>
      </c>
      <c r="F46" s="89">
        <v>57197327858</v>
      </c>
    </row>
    <row r="47" spans="1:6" ht="15" customHeight="1" x14ac:dyDescent="0.2">
      <c r="A47" s="89" t="s">
        <v>2639</v>
      </c>
      <c r="B47" s="86" t="s">
        <v>2640</v>
      </c>
      <c r="C47" s="85" t="s">
        <v>3061</v>
      </c>
      <c r="D47" s="89" t="s">
        <v>2641</v>
      </c>
      <c r="E47" s="89" t="s">
        <v>2906</v>
      </c>
      <c r="F47" s="89">
        <v>57205658483</v>
      </c>
    </row>
    <row r="48" spans="1:6" ht="15" customHeight="1" x14ac:dyDescent="0.2">
      <c r="A48" s="89" t="s">
        <v>2652</v>
      </c>
      <c r="B48" s="85" t="s">
        <v>2653</v>
      </c>
      <c r="C48" s="85" t="s">
        <v>3060</v>
      </c>
      <c r="D48" s="89" t="s">
        <v>2654</v>
      </c>
      <c r="E48" s="89" t="s">
        <v>2872</v>
      </c>
      <c r="F48" s="89">
        <v>57216868622</v>
      </c>
    </row>
    <row r="49" spans="1:6" ht="15" customHeight="1" x14ac:dyDescent="0.2">
      <c r="A49" s="89" t="s">
        <v>2719</v>
      </c>
      <c r="B49" s="85" t="s">
        <v>2720</v>
      </c>
      <c r="C49" s="85" t="s">
        <v>3061</v>
      </c>
      <c r="D49" s="89" t="s">
        <v>2722</v>
      </c>
      <c r="E49" s="89" t="s">
        <v>2876</v>
      </c>
      <c r="F49" s="89">
        <v>58523557700</v>
      </c>
    </row>
    <row r="50" spans="1:6" ht="15" customHeight="1" x14ac:dyDescent="0.2">
      <c r="A50" s="89" t="s">
        <v>3085</v>
      </c>
      <c r="B50" s="85" t="s">
        <v>3093</v>
      </c>
      <c r="C50" s="85" t="s">
        <v>3062</v>
      </c>
      <c r="D50" s="91" t="s">
        <v>3108</v>
      </c>
      <c r="E50" s="89" t="s">
        <v>3109</v>
      </c>
      <c r="F50" s="89">
        <v>57225191597</v>
      </c>
    </row>
    <row r="51" spans="1:6" ht="15" customHeight="1" x14ac:dyDescent="0.2">
      <c r="A51" s="89" t="s">
        <v>2762</v>
      </c>
      <c r="B51" s="86" t="s">
        <v>2763</v>
      </c>
      <c r="C51" s="85" t="s">
        <v>3059</v>
      </c>
      <c r="D51" s="89" t="s">
        <v>3120</v>
      </c>
      <c r="E51" s="90" t="s">
        <v>3121</v>
      </c>
      <c r="F51" s="89">
        <v>57824284000</v>
      </c>
    </row>
    <row r="52" spans="1:6" ht="15" customHeight="1" x14ac:dyDescent="0.2">
      <c r="A52" s="89" t="s">
        <v>2764</v>
      </c>
      <c r="B52" s="85" t="s">
        <v>2765</v>
      </c>
      <c r="C52" s="85" t="s">
        <v>3059</v>
      </c>
      <c r="D52" s="95" t="s">
        <v>3050</v>
      </c>
      <c r="E52" s="89" t="s">
        <v>3049</v>
      </c>
      <c r="F52" s="89">
        <v>58954857900</v>
      </c>
    </row>
    <row r="53" spans="1:6" ht="15" customHeight="1" x14ac:dyDescent="0.2">
      <c r="A53" s="89" t="s">
        <v>3089</v>
      </c>
      <c r="B53" s="85" t="s">
        <v>3097</v>
      </c>
      <c r="C53" s="85" t="s">
        <v>3061</v>
      </c>
      <c r="D53" s="91" t="s">
        <v>3110</v>
      </c>
      <c r="E53" s="89" t="s">
        <v>3111</v>
      </c>
      <c r="F53" s="89">
        <v>57811348000</v>
      </c>
    </row>
    <row r="54" spans="1:6" ht="15" customHeight="1" x14ac:dyDescent="0.2">
      <c r="A54" s="89" t="s">
        <v>2686</v>
      </c>
      <c r="B54" s="85" t="s">
        <v>2687</v>
      </c>
      <c r="C54" s="85" t="s">
        <v>2874</v>
      </c>
      <c r="D54" s="89" t="s">
        <v>2689</v>
      </c>
      <c r="E54" s="89" t="s">
        <v>2883</v>
      </c>
      <c r="F54" s="89">
        <v>57750422100</v>
      </c>
    </row>
    <row r="55" spans="1:6" ht="15" customHeight="1" x14ac:dyDescent="0.2">
      <c r="A55" s="89" t="s">
        <v>2700</v>
      </c>
      <c r="B55" s="85" t="s">
        <v>2701</v>
      </c>
      <c r="C55" s="85" t="s">
        <v>3061</v>
      </c>
      <c r="D55" s="95" t="s">
        <v>2703</v>
      </c>
      <c r="E55" s="89" t="s">
        <v>2892</v>
      </c>
      <c r="F55" s="89">
        <v>57212006168</v>
      </c>
    </row>
    <row r="56" spans="1:6" ht="15" customHeight="1" x14ac:dyDescent="0.2">
      <c r="A56" s="89" t="s">
        <v>2707</v>
      </c>
      <c r="B56" s="85" t="s">
        <v>2708</v>
      </c>
      <c r="C56" s="85" t="s">
        <v>3059</v>
      </c>
      <c r="D56" s="89" t="s">
        <v>2709</v>
      </c>
      <c r="E56" s="89" t="s">
        <v>2894</v>
      </c>
      <c r="F56" s="89">
        <v>57427876200</v>
      </c>
    </row>
    <row r="57" spans="1:6" ht="15" customHeight="1" x14ac:dyDescent="0.2">
      <c r="A57" s="89" t="s">
        <v>2655</v>
      </c>
      <c r="B57" s="85" t="s">
        <v>2656</v>
      </c>
      <c r="C57" s="85" t="s">
        <v>3061</v>
      </c>
      <c r="D57" s="89" t="s">
        <v>2657</v>
      </c>
      <c r="E57" s="89" t="s">
        <v>2896</v>
      </c>
      <c r="F57" s="89">
        <v>57204847841</v>
      </c>
    </row>
    <row r="58" spans="1:6" ht="15" customHeight="1" x14ac:dyDescent="0.2">
      <c r="A58" s="89" t="s">
        <v>2696</v>
      </c>
      <c r="B58" s="85" t="s">
        <v>2697</v>
      </c>
      <c r="C58" s="85" t="s">
        <v>2874</v>
      </c>
      <c r="D58" s="89" t="s">
        <v>2699</v>
      </c>
      <c r="E58" s="89" t="s">
        <v>3043</v>
      </c>
      <c r="F58" s="89">
        <v>57195913859</v>
      </c>
    </row>
    <row r="59" spans="1:6" ht="15" customHeight="1" x14ac:dyDescent="0.2">
      <c r="A59" s="89" t="s">
        <v>2730</v>
      </c>
      <c r="B59" s="85" t="s">
        <v>2731</v>
      </c>
      <c r="C59" s="85" t="s">
        <v>3059</v>
      </c>
      <c r="D59" s="89" t="s">
        <v>2732</v>
      </c>
      <c r="E59" s="89" t="s">
        <v>2919</v>
      </c>
      <c r="F59" s="89">
        <v>57218297655</v>
      </c>
    </row>
    <row r="60" spans="1:6" ht="15" customHeight="1" x14ac:dyDescent="0.2">
      <c r="A60" s="89" t="s">
        <v>2716</v>
      </c>
      <c r="B60" s="85" t="s">
        <v>2717</v>
      </c>
      <c r="C60" s="85" t="s">
        <v>3061</v>
      </c>
      <c r="D60" s="89" t="s">
        <v>2718</v>
      </c>
      <c r="E60" s="89" t="s">
        <v>3044</v>
      </c>
      <c r="F60" s="89">
        <v>58803522300</v>
      </c>
    </row>
    <row r="61" spans="1:6" ht="15" customHeight="1" x14ac:dyDescent="0.2">
      <c r="A61" s="89" t="s">
        <v>2836</v>
      </c>
      <c r="B61" s="85" t="s">
        <v>2837</v>
      </c>
      <c r="C61" s="85" t="s">
        <v>3060</v>
      </c>
      <c r="D61" s="95" t="s">
        <v>3077</v>
      </c>
      <c r="E61" s="90" t="s">
        <v>3078</v>
      </c>
      <c r="F61" s="89">
        <v>58523088300</v>
      </c>
    </row>
    <row r="62" spans="1:6" ht="15" customHeight="1" x14ac:dyDescent="0.2">
      <c r="A62" s="89" t="s">
        <v>2844</v>
      </c>
      <c r="B62" s="86" t="s">
        <v>2930</v>
      </c>
      <c r="C62" s="85" t="s">
        <v>3059</v>
      </c>
      <c r="D62" s="89" t="s">
        <v>3051</v>
      </c>
      <c r="E62" s="89" t="s">
        <v>3112</v>
      </c>
      <c r="F62" s="89">
        <v>58145499200</v>
      </c>
    </row>
    <row r="63" spans="1:6" ht="15" customHeight="1" x14ac:dyDescent="0.2">
      <c r="A63" s="89" t="s">
        <v>2741</v>
      </c>
      <c r="B63" s="86" t="s">
        <v>2742</v>
      </c>
      <c r="C63" s="85" t="s">
        <v>3061</v>
      </c>
      <c r="D63" s="89" t="s">
        <v>2743</v>
      </c>
      <c r="E63" s="89" t="s">
        <v>2932</v>
      </c>
      <c r="F63" s="89">
        <v>57903699900</v>
      </c>
    </row>
    <row r="64" spans="1:6" ht="15" customHeight="1" x14ac:dyDescent="0.2">
      <c r="A64" s="89" t="s">
        <v>2680</v>
      </c>
      <c r="B64" s="86" t="s">
        <v>2681</v>
      </c>
      <c r="C64" s="85" t="s">
        <v>3059</v>
      </c>
      <c r="D64" s="89" t="s">
        <v>2682</v>
      </c>
      <c r="E64" s="89" t="s">
        <v>2908</v>
      </c>
      <c r="F64" s="89">
        <v>57197807415</v>
      </c>
    </row>
    <row r="65" spans="1:6" ht="15" customHeight="1" x14ac:dyDescent="0.2">
      <c r="A65" s="89" t="s">
        <v>2744</v>
      </c>
      <c r="B65" s="85" t="s">
        <v>2745</v>
      </c>
      <c r="C65" s="85" t="s">
        <v>3059</v>
      </c>
      <c r="D65" s="89" t="s">
        <v>2747</v>
      </c>
      <c r="E65" s="89" t="s">
        <v>2873</v>
      </c>
      <c r="F65" s="89">
        <v>57930663300</v>
      </c>
    </row>
    <row r="66" spans="1:6" ht="15" customHeight="1" x14ac:dyDescent="0.2">
      <c r="A66" s="89" t="s">
        <v>2713</v>
      </c>
      <c r="B66" s="85" t="s">
        <v>2714</v>
      </c>
      <c r="C66" s="85" t="s">
        <v>3059</v>
      </c>
      <c r="D66" s="89" t="s">
        <v>2715</v>
      </c>
      <c r="E66" s="89" t="s">
        <v>2886</v>
      </c>
      <c r="F66" s="89">
        <v>57201036449</v>
      </c>
    </row>
    <row r="67" spans="1:6" ht="15" customHeight="1" x14ac:dyDescent="0.2">
      <c r="A67" s="89" t="s">
        <v>2737</v>
      </c>
      <c r="B67" s="85" t="s">
        <v>2738</v>
      </c>
      <c r="C67" s="85" t="s">
        <v>3061</v>
      </c>
      <c r="D67" s="95" t="s">
        <v>2740</v>
      </c>
      <c r="E67" s="89" t="s">
        <v>2889</v>
      </c>
      <c r="F67" s="89">
        <v>57209248085</v>
      </c>
    </row>
    <row r="68" spans="1:6" ht="15" customHeight="1" x14ac:dyDescent="0.2">
      <c r="A68" s="89" t="s">
        <v>3081</v>
      </c>
      <c r="B68" s="85" t="s">
        <v>3090</v>
      </c>
      <c r="C68" s="85" t="s">
        <v>3061</v>
      </c>
      <c r="D68" s="91" t="s">
        <v>3104</v>
      </c>
      <c r="E68" s="89" t="s">
        <v>3102</v>
      </c>
      <c r="F68" s="89">
        <v>59760252900</v>
      </c>
    </row>
    <row r="69" spans="1:6" ht="15" customHeight="1" x14ac:dyDescent="0.2">
      <c r="A69" s="89" t="s">
        <v>2757</v>
      </c>
      <c r="B69" s="85" t="s">
        <v>2758</v>
      </c>
      <c r="C69" s="85" t="s">
        <v>3061</v>
      </c>
      <c r="D69" s="95" t="s">
        <v>3122</v>
      </c>
      <c r="E69" s="90" t="s">
        <v>3123</v>
      </c>
      <c r="F69" s="89">
        <v>59269721500</v>
      </c>
    </row>
    <row r="70" spans="1:6" ht="15" customHeight="1" x14ac:dyDescent="0.2">
      <c r="A70" s="89" t="s">
        <v>2766</v>
      </c>
      <c r="B70" s="85" t="s">
        <v>2767</v>
      </c>
      <c r="C70" s="85" t="s">
        <v>3059</v>
      </c>
      <c r="D70" s="89">
        <v>0</v>
      </c>
      <c r="E70" s="89">
        <v>0</v>
      </c>
      <c r="F70" s="89">
        <v>0</v>
      </c>
    </row>
    <row r="71" spans="1:6" ht="15" customHeight="1" x14ac:dyDescent="0.2">
      <c r="A71" s="89" t="s">
        <v>2775</v>
      </c>
      <c r="B71" s="86" t="s">
        <v>2776</v>
      </c>
      <c r="C71" s="85" t="s">
        <v>3062</v>
      </c>
      <c r="D71" s="89">
        <v>0</v>
      </c>
      <c r="E71" s="89">
        <v>0</v>
      </c>
      <c r="F71" s="89">
        <v>0</v>
      </c>
    </row>
    <row r="72" spans="1:6" ht="15" customHeight="1" x14ac:dyDescent="0.2">
      <c r="A72" s="89" t="s">
        <v>2784</v>
      </c>
      <c r="B72" s="85" t="s">
        <v>2785</v>
      </c>
      <c r="C72" s="85" t="s">
        <v>3062</v>
      </c>
      <c r="D72" s="99" t="s">
        <v>3126</v>
      </c>
      <c r="E72" s="90" t="s">
        <v>3127</v>
      </c>
      <c r="F72" s="89">
        <v>60219600400</v>
      </c>
    </row>
    <row r="73" spans="1:6" ht="15" customHeight="1" x14ac:dyDescent="0.2">
      <c r="A73" s="89" t="s">
        <v>3087</v>
      </c>
      <c r="B73" s="85" t="s">
        <v>3095</v>
      </c>
      <c r="C73" s="85" t="s">
        <v>3062</v>
      </c>
      <c r="D73" s="89">
        <v>0</v>
      </c>
      <c r="E73" s="89">
        <v>0</v>
      </c>
      <c r="F73" s="89">
        <v>0</v>
      </c>
    </row>
    <row r="74" spans="1:6" ht="15" customHeight="1" x14ac:dyDescent="0.2">
      <c r="A74" s="89" t="s">
        <v>2791</v>
      </c>
      <c r="B74" s="86" t="s">
        <v>2792</v>
      </c>
      <c r="C74" s="85" t="s">
        <v>3061</v>
      </c>
      <c r="D74" s="89">
        <v>0</v>
      </c>
      <c r="E74" s="89">
        <v>0</v>
      </c>
      <c r="F74" s="89">
        <v>0</v>
      </c>
    </row>
    <row r="75" spans="1:6" ht="15" customHeight="1" x14ac:dyDescent="0.2">
      <c r="A75" s="89" t="s">
        <v>2748</v>
      </c>
      <c r="B75" s="85" t="s">
        <v>2749</v>
      </c>
      <c r="C75" s="85" t="s">
        <v>2750</v>
      </c>
      <c r="D75" s="95" t="s">
        <v>3076</v>
      </c>
      <c r="E75" s="89" t="s">
        <v>2899</v>
      </c>
      <c r="F75" s="89">
        <v>58134344400</v>
      </c>
    </row>
    <row r="76" spans="1:6" ht="15" customHeight="1" x14ac:dyDescent="0.2">
      <c r="A76" s="89" t="s">
        <v>3084</v>
      </c>
      <c r="B76" s="85" t="s">
        <v>3099</v>
      </c>
      <c r="C76" s="85" t="s">
        <v>3059</v>
      </c>
      <c r="D76" s="89">
        <v>0</v>
      </c>
      <c r="E76" s="89">
        <v>0</v>
      </c>
      <c r="F76" s="89">
        <v>0</v>
      </c>
    </row>
    <row r="77" spans="1:6" ht="15" customHeight="1" x14ac:dyDescent="0.2">
      <c r="A77" s="89" t="s">
        <v>2806</v>
      </c>
      <c r="B77" s="85" t="s">
        <v>2807</v>
      </c>
      <c r="C77" s="85" t="s">
        <v>3059</v>
      </c>
      <c r="D77" s="89">
        <v>0</v>
      </c>
      <c r="E77" s="89">
        <v>0</v>
      </c>
      <c r="F77" s="89">
        <v>0</v>
      </c>
    </row>
    <row r="78" spans="1:6" ht="15" customHeight="1" x14ac:dyDescent="0.2">
      <c r="A78" s="89" t="s">
        <v>3086</v>
      </c>
      <c r="B78" s="85" t="s">
        <v>3094</v>
      </c>
      <c r="C78" s="85" t="s">
        <v>2750</v>
      </c>
      <c r="D78" s="89">
        <v>0</v>
      </c>
      <c r="E78" s="89">
        <v>0</v>
      </c>
      <c r="F78" s="89">
        <v>0</v>
      </c>
    </row>
    <row r="79" spans="1:6" ht="15" customHeight="1" x14ac:dyDescent="0.2">
      <c r="A79" s="89" t="s">
        <v>3088</v>
      </c>
      <c r="B79" s="86" t="s">
        <v>3096</v>
      </c>
      <c r="C79" s="85" t="s">
        <v>3061</v>
      </c>
      <c r="D79" s="99" t="s">
        <v>3129</v>
      </c>
      <c r="E79" s="90" t="s">
        <v>3128</v>
      </c>
      <c r="F79" s="89">
        <v>60026192200</v>
      </c>
    </row>
    <row r="80" spans="1:6" ht="15" customHeight="1" x14ac:dyDescent="0.2">
      <c r="A80" s="89" t="s">
        <v>2822</v>
      </c>
      <c r="B80" s="86" t="s">
        <v>2823</v>
      </c>
      <c r="C80" s="85" t="s">
        <v>3062</v>
      </c>
      <c r="D80" s="89">
        <v>0</v>
      </c>
      <c r="E80" s="89">
        <v>0</v>
      </c>
      <c r="F80" s="89">
        <v>0</v>
      </c>
    </row>
    <row r="81" spans="1:6" ht="15" customHeight="1" x14ac:dyDescent="0.2">
      <c r="A81" s="89" t="s">
        <v>2825</v>
      </c>
      <c r="B81" s="86" t="s">
        <v>2826</v>
      </c>
      <c r="C81" s="85" t="s">
        <v>3060</v>
      </c>
      <c r="D81" s="99" t="s">
        <v>3136</v>
      </c>
      <c r="E81" s="89" t="s">
        <v>3047</v>
      </c>
      <c r="F81" s="89">
        <v>58868256900</v>
      </c>
    </row>
    <row r="82" spans="1:6" ht="15" customHeight="1" x14ac:dyDescent="0.2">
      <c r="A82" s="89" t="s">
        <v>2827</v>
      </c>
      <c r="B82" s="86" t="s">
        <v>2828</v>
      </c>
      <c r="C82" s="85" t="s">
        <v>3059</v>
      </c>
      <c r="D82" s="89">
        <v>0</v>
      </c>
      <c r="E82" s="89">
        <v>0</v>
      </c>
      <c r="F82" s="89">
        <v>0</v>
      </c>
    </row>
    <row r="83" spans="1:6" ht="15" customHeight="1" x14ac:dyDescent="0.2">
      <c r="A83" s="89" t="s">
        <v>2831</v>
      </c>
      <c r="B83" s="85" t="s">
        <v>2832</v>
      </c>
      <c r="C83" s="85" t="s">
        <v>3059</v>
      </c>
      <c r="D83" s="89">
        <v>0</v>
      </c>
      <c r="E83" s="89">
        <v>0</v>
      </c>
      <c r="F83" s="89">
        <v>0</v>
      </c>
    </row>
    <row r="84" spans="1:6" ht="15" customHeight="1" x14ac:dyDescent="0.2">
      <c r="A84" s="89" t="s">
        <v>2833</v>
      </c>
      <c r="B84" s="86" t="s">
        <v>2834</v>
      </c>
      <c r="C84" s="85" t="s">
        <v>3060</v>
      </c>
      <c r="D84" s="89">
        <v>0</v>
      </c>
      <c r="E84" s="89">
        <v>0</v>
      </c>
      <c r="F84" s="89">
        <v>0</v>
      </c>
    </row>
    <row r="85" spans="1:6" ht="15" customHeight="1" x14ac:dyDescent="0.2">
      <c r="A85" s="89" t="s">
        <v>2751</v>
      </c>
      <c r="B85" s="85" t="s">
        <v>2752</v>
      </c>
      <c r="C85" s="85" t="s">
        <v>3059</v>
      </c>
      <c r="D85" s="89" t="s">
        <v>2753</v>
      </c>
      <c r="E85" s="89" t="s">
        <v>2928</v>
      </c>
      <c r="F85" s="89">
        <v>57918232800</v>
      </c>
    </row>
    <row r="86" spans="1:6" ht="15" customHeight="1" x14ac:dyDescent="0.2">
      <c r="A86" s="89" t="s">
        <v>3080</v>
      </c>
      <c r="B86" s="85" t="s">
        <v>3098</v>
      </c>
      <c r="C86" s="85" t="s">
        <v>3061</v>
      </c>
      <c r="D86" s="91" t="s">
        <v>3100</v>
      </c>
      <c r="E86" s="89" t="s">
        <v>3101</v>
      </c>
      <c r="F86" s="89">
        <v>55881930700</v>
      </c>
    </row>
    <row r="87" spans="1:6" ht="15" customHeight="1" x14ac:dyDescent="0.2">
      <c r="A87" s="89" t="s">
        <v>2850</v>
      </c>
      <c r="B87" s="86" t="s">
        <v>2851</v>
      </c>
      <c r="C87" s="85" t="s">
        <v>3059</v>
      </c>
      <c r="D87" s="89">
        <v>0</v>
      </c>
      <c r="E87" s="89">
        <v>0</v>
      </c>
      <c r="F87" s="89">
        <v>0</v>
      </c>
    </row>
    <row r="88" spans="1:6" ht="15" customHeight="1" x14ac:dyDescent="0.2">
      <c r="A88" s="89" t="s">
        <v>2852</v>
      </c>
      <c r="B88" s="86" t="s">
        <v>2853</v>
      </c>
      <c r="C88" s="85" t="s">
        <v>3059</v>
      </c>
      <c r="D88" s="89">
        <v>0</v>
      </c>
      <c r="E88" s="89">
        <v>0</v>
      </c>
      <c r="F88" s="89">
        <v>0</v>
      </c>
    </row>
    <row r="89" spans="1:6" ht="15" customHeight="1" x14ac:dyDescent="0.2">
      <c r="A89" s="89" t="s">
        <v>2857</v>
      </c>
      <c r="B89" s="85" t="s">
        <v>3070</v>
      </c>
      <c r="C89" s="85" t="s">
        <v>2750</v>
      </c>
      <c r="D89" s="95" t="s">
        <v>3074</v>
      </c>
      <c r="E89" s="89" t="s">
        <v>3075</v>
      </c>
      <c r="F89" s="89">
        <v>59987226300</v>
      </c>
    </row>
    <row r="90" spans="1:6" ht="15" customHeight="1" x14ac:dyDescent="0.2">
      <c r="A90" s="89" t="s">
        <v>2860</v>
      </c>
      <c r="B90" s="86" t="s">
        <v>2861</v>
      </c>
      <c r="C90" s="85" t="s">
        <v>3059</v>
      </c>
      <c r="D90" s="89">
        <v>0</v>
      </c>
      <c r="E90" s="89">
        <v>0</v>
      </c>
      <c r="F90" s="89">
        <v>0</v>
      </c>
    </row>
    <row r="91" spans="1:6" ht="15" customHeight="1" x14ac:dyDescent="0.2">
      <c r="A91" s="89" t="s">
        <v>2866</v>
      </c>
      <c r="B91" s="86" t="s">
        <v>2867</v>
      </c>
      <c r="C91" s="85" t="s">
        <v>3059</v>
      </c>
      <c r="D91" s="89">
        <v>0</v>
      </c>
      <c r="E91" s="89">
        <v>0</v>
      </c>
      <c r="F91" s="89">
        <v>0</v>
      </c>
    </row>
    <row r="92" spans="1:6" ht="15" customHeight="1" x14ac:dyDescent="0.2">
      <c r="A92" s="89" t="s">
        <v>2631</v>
      </c>
      <c r="B92" s="85" t="s">
        <v>2632</v>
      </c>
      <c r="C92" s="85" t="s">
        <v>3061</v>
      </c>
      <c r="D92" s="89" t="s">
        <v>2634</v>
      </c>
      <c r="E92" s="89" t="s">
        <v>2902</v>
      </c>
      <c r="F92" s="89">
        <v>57193252278</v>
      </c>
    </row>
    <row r="93" spans="1:6" ht="15" customHeight="1" x14ac:dyDescent="0.2">
      <c r="A93" s="89" t="s">
        <v>2622</v>
      </c>
      <c r="B93" s="85" t="s">
        <v>2623</v>
      </c>
      <c r="C93" s="85" t="s">
        <v>3061</v>
      </c>
      <c r="D93" s="89" t="s">
        <v>2624</v>
      </c>
      <c r="E93" s="89" t="s">
        <v>2904</v>
      </c>
      <c r="F93" s="89">
        <v>57205400052</v>
      </c>
    </row>
    <row r="94" spans="1:6" ht="15" customHeight="1" x14ac:dyDescent="0.2">
      <c r="A94" s="89" t="s">
        <v>2609</v>
      </c>
      <c r="B94" s="85" t="s">
        <v>2610</v>
      </c>
      <c r="C94" s="85" t="s">
        <v>2874</v>
      </c>
      <c r="D94" s="89" t="s">
        <v>2611</v>
      </c>
      <c r="E94" s="89" t="s">
        <v>2909</v>
      </c>
      <c r="F94" s="89">
        <v>57758796500</v>
      </c>
    </row>
    <row r="95" spans="1:6" ht="15" customHeight="1" x14ac:dyDescent="0.2">
      <c r="A95" s="89" t="s">
        <v>3055</v>
      </c>
      <c r="B95" s="85" t="s">
        <v>3065</v>
      </c>
      <c r="C95" s="85" t="s">
        <v>2874</v>
      </c>
      <c r="D95" s="95" t="s">
        <v>3066</v>
      </c>
      <c r="E95" s="89" t="s">
        <v>3067</v>
      </c>
      <c r="F95" s="89">
        <v>57189892062</v>
      </c>
    </row>
    <row r="96" spans="1:6" ht="15" customHeight="1" x14ac:dyDescent="0.2">
      <c r="A96" s="89" t="s">
        <v>2664</v>
      </c>
      <c r="B96" s="85" t="s">
        <v>2665</v>
      </c>
      <c r="C96" s="85" t="s">
        <v>2874</v>
      </c>
      <c r="D96" s="89" t="s">
        <v>2666</v>
      </c>
      <c r="E96" s="89" t="s">
        <v>2910</v>
      </c>
      <c r="F96" s="89">
        <v>57918628600</v>
      </c>
    </row>
    <row r="97" spans="1:6" ht="15" customHeight="1" x14ac:dyDescent="0.2">
      <c r="A97" s="89" t="s">
        <v>3035</v>
      </c>
      <c r="B97" s="85" t="s">
        <v>3036</v>
      </c>
      <c r="C97" s="85" t="s">
        <v>3061</v>
      </c>
      <c r="D97" s="89" t="s">
        <v>3039</v>
      </c>
      <c r="E97" s="89" t="s">
        <v>3042</v>
      </c>
      <c r="F97" s="89">
        <v>7195913974</v>
      </c>
    </row>
    <row r="98" spans="1:6" ht="15" customHeight="1" x14ac:dyDescent="0.2">
      <c r="A98" s="89" t="s">
        <v>2726</v>
      </c>
      <c r="B98" s="85" t="s">
        <v>2727</v>
      </c>
      <c r="C98" s="85" t="s">
        <v>3059</v>
      </c>
      <c r="D98" s="89" t="s">
        <v>2729</v>
      </c>
      <c r="E98" s="89" t="s">
        <v>2940</v>
      </c>
      <c r="F98" s="89">
        <v>58068069000</v>
      </c>
    </row>
    <row r="99" spans="1:6" ht="15" customHeight="1" x14ac:dyDescent="0.2">
      <c r="A99" s="89" t="s">
        <v>2694</v>
      </c>
      <c r="B99" s="85" t="s">
        <v>2695</v>
      </c>
      <c r="C99" s="85" t="s">
        <v>2874</v>
      </c>
      <c r="D99" s="89" t="s">
        <v>3045</v>
      </c>
      <c r="E99" s="89" t="s">
        <v>3046</v>
      </c>
      <c r="F99" s="89">
        <v>58618811100</v>
      </c>
    </row>
    <row r="100" spans="1:6" ht="15" customHeight="1" x14ac:dyDescent="0.2">
      <c r="A100" s="89" t="s">
        <v>2733</v>
      </c>
      <c r="B100" s="85" t="s">
        <v>2734</v>
      </c>
      <c r="C100" s="85" t="s">
        <v>3059</v>
      </c>
      <c r="D100" s="89" t="s">
        <v>2736</v>
      </c>
      <c r="E100" s="89" t="s">
        <v>2921</v>
      </c>
      <c r="F100" s="89">
        <v>57222223605</v>
      </c>
    </row>
    <row r="101" spans="1:6" ht="15" customHeight="1" x14ac:dyDescent="0.2">
      <c r="A101" s="89" t="s">
        <v>2710</v>
      </c>
      <c r="B101" s="85" t="s">
        <v>2711</v>
      </c>
      <c r="C101" s="85" t="s">
        <v>3060</v>
      </c>
      <c r="D101" s="89" t="s">
        <v>2712</v>
      </c>
      <c r="E101" s="89" t="s">
        <v>2922</v>
      </c>
      <c r="F101" s="89">
        <v>57221229836</v>
      </c>
    </row>
    <row r="102" spans="1:6" ht="15" customHeight="1" x14ac:dyDescent="0.2">
      <c r="A102" s="89" t="s">
        <v>2677</v>
      </c>
      <c r="B102" s="85" t="s">
        <v>2678</v>
      </c>
      <c r="C102" s="85" t="s">
        <v>2874</v>
      </c>
      <c r="D102" s="89" t="s">
        <v>2679</v>
      </c>
      <c r="E102" s="89" t="s">
        <v>2927</v>
      </c>
      <c r="F102" s="89">
        <v>55783129400</v>
      </c>
    </row>
    <row r="103" spans="1:6" ht="15" customHeight="1" x14ac:dyDescent="0.2">
      <c r="A103" s="89" t="s">
        <v>3037</v>
      </c>
      <c r="B103" s="85" t="s">
        <v>3038</v>
      </c>
      <c r="C103" s="85" t="s">
        <v>3061</v>
      </c>
      <c r="D103" s="89" t="s">
        <v>3040</v>
      </c>
      <c r="E103" s="89" t="s">
        <v>3041</v>
      </c>
      <c r="F103" s="89">
        <v>57202159706</v>
      </c>
    </row>
    <row r="104" spans="1:6" ht="15" customHeight="1" x14ac:dyDescent="0.2">
      <c r="A104" s="89" t="s">
        <v>2683</v>
      </c>
      <c r="B104" s="86" t="s">
        <v>2684</v>
      </c>
      <c r="C104" s="85" t="s">
        <v>3060</v>
      </c>
      <c r="D104" s="89" t="s">
        <v>2685</v>
      </c>
      <c r="E104" s="90" t="s">
        <v>3079</v>
      </c>
      <c r="F104" s="89">
        <v>57982471000</v>
      </c>
    </row>
    <row r="105" spans="1:6" ht="15" customHeight="1" x14ac:dyDescent="0.2">
      <c r="A105" s="89" t="s">
        <v>2754</v>
      </c>
      <c r="B105" s="86" t="s">
        <v>2755</v>
      </c>
      <c r="C105" s="85" t="s">
        <v>3061</v>
      </c>
      <c r="D105" s="89">
        <v>0</v>
      </c>
      <c r="E105" s="89">
        <v>0</v>
      </c>
      <c r="F105" s="89">
        <v>0</v>
      </c>
    </row>
    <row r="106" spans="1:6" ht="15" customHeight="1" x14ac:dyDescent="0.2">
      <c r="A106" s="89" t="s">
        <v>2759</v>
      </c>
      <c r="B106" s="85" t="s">
        <v>2760</v>
      </c>
      <c r="C106" s="85" t="s">
        <v>3061</v>
      </c>
      <c r="D106" s="99" t="s">
        <v>3131</v>
      </c>
      <c r="E106" s="90" t="s">
        <v>3130</v>
      </c>
      <c r="F106" s="89">
        <v>57931099400</v>
      </c>
    </row>
    <row r="107" spans="1:6" ht="15" customHeight="1" x14ac:dyDescent="0.2">
      <c r="A107" s="89" t="s">
        <v>3057</v>
      </c>
      <c r="B107" s="86" t="s">
        <v>3054</v>
      </c>
      <c r="C107" s="85" t="s">
        <v>3061</v>
      </c>
      <c r="D107" s="95">
        <v>0</v>
      </c>
      <c r="E107" s="89">
        <v>0</v>
      </c>
      <c r="F107" s="89">
        <v>0</v>
      </c>
    </row>
    <row r="108" spans="1:6" ht="15" customHeight="1" x14ac:dyDescent="0.2">
      <c r="A108" s="89" t="s">
        <v>2768</v>
      </c>
      <c r="B108" s="86" t="s">
        <v>2769</v>
      </c>
      <c r="C108" s="85" t="s">
        <v>3059</v>
      </c>
      <c r="D108" s="89">
        <v>0</v>
      </c>
      <c r="E108" s="89">
        <v>0</v>
      </c>
      <c r="F108" s="89">
        <v>0</v>
      </c>
    </row>
    <row r="109" spans="1:6" ht="15" customHeight="1" x14ac:dyDescent="0.2">
      <c r="A109" s="89" t="s">
        <v>2723</v>
      </c>
      <c r="B109" s="85" t="s">
        <v>2724</v>
      </c>
      <c r="C109" s="85" t="s">
        <v>2874</v>
      </c>
      <c r="D109" s="89" t="s">
        <v>2725</v>
      </c>
      <c r="E109" s="89" t="s">
        <v>2880</v>
      </c>
      <c r="F109" s="89">
        <v>57219506381</v>
      </c>
    </row>
    <row r="110" spans="1:6" ht="15" customHeight="1" x14ac:dyDescent="0.2">
      <c r="A110" s="89" t="s">
        <v>2770</v>
      </c>
      <c r="B110" s="85" t="s">
        <v>2771</v>
      </c>
      <c r="C110" s="85" t="s">
        <v>2874</v>
      </c>
      <c r="D110" s="89">
        <v>0</v>
      </c>
      <c r="E110" s="89">
        <v>0</v>
      </c>
      <c r="F110" s="89">
        <v>0</v>
      </c>
    </row>
    <row r="111" spans="1:6" ht="15" customHeight="1" x14ac:dyDescent="0.2">
      <c r="A111" s="89" t="s">
        <v>2772</v>
      </c>
      <c r="B111" s="86" t="s">
        <v>2773</v>
      </c>
      <c r="C111" s="85" t="s">
        <v>3061</v>
      </c>
      <c r="D111" s="99" t="s">
        <v>3133</v>
      </c>
      <c r="E111" s="90" t="s">
        <v>3132</v>
      </c>
      <c r="F111" s="89">
        <v>60514444200</v>
      </c>
    </row>
    <row r="112" spans="1:6" ht="15" customHeight="1" x14ac:dyDescent="0.2">
      <c r="A112" s="89" t="s">
        <v>2774</v>
      </c>
      <c r="B112" s="86" t="s">
        <v>3032</v>
      </c>
      <c r="C112" s="85" t="s">
        <v>3061</v>
      </c>
      <c r="D112" s="89">
        <v>0</v>
      </c>
      <c r="E112" s="89">
        <v>0</v>
      </c>
      <c r="F112" s="89">
        <v>0</v>
      </c>
    </row>
    <row r="113" spans="1:6" ht="15" customHeight="1" x14ac:dyDescent="0.2">
      <c r="A113" s="89" t="s">
        <v>2777</v>
      </c>
      <c r="B113" s="85" t="s">
        <v>2778</v>
      </c>
      <c r="C113" s="85" t="s">
        <v>3059</v>
      </c>
      <c r="D113" s="89">
        <v>0</v>
      </c>
      <c r="E113" s="89">
        <v>0</v>
      </c>
      <c r="F113" s="89">
        <v>0</v>
      </c>
    </row>
    <row r="114" spans="1:6" ht="15" customHeight="1" x14ac:dyDescent="0.2">
      <c r="A114" s="89" t="s">
        <v>2779</v>
      </c>
      <c r="B114" s="85" t="s">
        <v>3068</v>
      </c>
      <c r="C114" s="85" t="s">
        <v>3059</v>
      </c>
      <c r="D114" s="89">
        <v>0</v>
      </c>
      <c r="E114" s="89">
        <v>0</v>
      </c>
      <c r="F114" s="89">
        <v>0</v>
      </c>
    </row>
    <row r="115" spans="1:6" ht="15" customHeight="1" x14ac:dyDescent="0.2">
      <c r="A115" s="89" t="s">
        <v>2782</v>
      </c>
      <c r="B115" s="85" t="s">
        <v>2783</v>
      </c>
      <c r="C115" s="85" t="s">
        <v>3060</v>
      </c>
      <c r="D115" s="89">
        <v>0</v>
      </c>
      <c r="E115" s="89">
        <v>0</v>
      </c>
      <c r="F115" s="89">
        <v>0</v>
      </c>
    </row>
    <row r="116" spans="1:6" ht="15" customHeight="1" x14ac:dyDescent="0.2">
      <c r="A116" s="89" t="s">
        <v>2787</v>
      </c>
      <c r="B116" s="85" t="s">
        <v>2788</v>
      </c>
      <c r="C116" s="85" t="s">
        <v>2750</v>
      </c>
      <c r="D116" s="89">
        <v>0</v>
      </c>
      <c r="E116" s="89">
        <v>0</v>
      </c>
      <c r="F116" s="89">
        <v>0</v>
      </c>
    </row>
    <row r="117" spans="1:6" ht="15" customHeight="1" x14ac:dyDescent="0.2">
      <c r="A117" s="89" t="s">
        <v>2789</v>
      </c>
      <c r="B117" s="85" t="s">
        <v>2790</v>
      </c>
      <c r="C117" s="85" t="s">
        <v>3060</v>
      </c>
      <c r="D117" s="89">
        <v>0</v>
      </c>
      <c r="E117" s="89">
        <v>0</v>
      </c>
      <c r="F117" s="89">
        <v>0</v>
      </c>
    </row>
    <row r="118" spans="1:6" ht="15" customHeight="1" x14ac:dyDescent="0.2">
      <c r="A118" s="89" t="s">
        <v>2793</v>
      </c>
      <c r="B118" s="85" t="s">
        <v>2794</v>
      </c>
      <c r="C118" s="85" t="s">
        <v>2874</v>
      </c>
      <c r="D118" s="89" t="s">
        <v>3124</v>
      </c>
      <c r="E118" s="90" t="s">
        <v>3125</v>
      </c>
      <c r="F118" s="89">
        <v>59325343900</v>
      </c>
    </row>
    <row r="119" spans="1:6" ht="15" customHeight="1" x14ac:dyDescent="0.2">
      <c r="A119" s="89" t="s">
        <v>2798</v>
      </c>
      <c r="B119" s="85" t="s">
        <v>3069</v>
      </c>
      <c r="C119" s="85" t="s">
        <v>3060</v>
      </c>
      <c r="D119" s="99" t="s">
        <v>3137</v>
      </c>
      <c r="E119" s="90" t="s">
        <v>3138</v>
      </c>
      <c r="F119" s="89">
        <v>60157655200</v>
      </c>
    </row>
    <row r="120" spans="1:6" ht="15" customHeight="1" x14ac:dyDescent="0.2">
      <c r="A120" s="89" t="s">
        <v>2799</v>
      </c>
      <c r="B120" s="85" t="s">
        <v>2800</v>
      </c>
      <c r="C120" s="85" t="s">
        <v>3060</v>
      </c>
      <c r="D120" s="89">
        <v>0</v>
      </c>
      <c r="E120" s="89">
        <v>0</v>
      </c>
      <c r="F120" s="89">
        <v>0</v>
      </c>
    </row>
    <row r="121" spans="1:6" ht="15" customHeight="1" x14ac:dyDescent="0.2">
      <c r="A121" s="89" t="s">
        <v>2801</v>
      </c>
      <c r="B121" s="86" t="s">
        <v>2802</v>
      </c>
      <c r="C121" s="85" t="s">
        <v>3061</v>
      </c>
      <c r="D121" s="95" t="s">
        <v>3072</v>
      </c>
      <c r="E121" s="89" t="s">
        <v>3073</v>
      </c>
      <c r="F121" s="89">
        <v>58917134900</v>
      </c>
    </row>
    <row r="122" spans="1:6" ht="15" customHeight="1" x14ac:dyDescent="0.2">
      <c r="A122" s="89" t="s">
        <v>2803</v>
      </c>
      <c r="B122" s="85" t="s">
        <v>2804</v>
      </c>
      <c r="C122" s="85" t="s">
        <v>3059</v>
      </c>
      <c r="D122" s="89">
        <v>0</v>
      </c>
      <c r="E122" s="89">
        <v>0</v>
      </c>
      <c r="F122" s="89">
        <v>0</v>
      </c>
    </row>
    <row r="123" spans="1:6" ht="15" customHeight="1" x14ac:dyDescent="0.2">
      <c r="A123" s="89" t="s">
        <v>2805</v>
      </c>
      <c r="B123" s="86" t="s">
        <v>3031</v>
      </c>
      <c r="C123" s="85" t="s">
        <v>3061</v>
      </c>
      <c r="D123" s="89">
        <v>0</v>
      </c>
      <c r="E123" s="89">
        <v>0</v>
      </c>
      <c r="F123" s="89">
        <v>0</v>
      </c>
    </row>
    <row r="124" spans="1:6" ht="15" customHeight="1" x14ac:dyDescent="0.2">
      <c r="A124" s="89" t="s">
        <v>2808</v>
      </c>
      <c r="B124" s="85" t="s">
        <v>2809</v>
      </c>
      <c r="C124" s="85" t="s">
        <v>3059</v>
      </c>
      <c r="D124" s="89">
        <v>0</v>
      </c>
      <c r="E124" s="89">
        <v>0</v>
      </c>
      <c r="F124" s="89">
        <v>0</v>
      </c>
    </row>
    <row r="125" spans="1:6" ht="15" customHeight="1" x14ac:dyDescent="0.2">
      <c r="A125" s="90" t="s">
        <v>2810</v>
      </c>
      <c r="B125" s="85" t="s">
        <v>2811</v>
      </c>
      <c r="C125" s="85" t="s">
        <v>3060</v>
      </c>
      <c r="D125" s="89">
        <v>0</v>
      </c>
      <c r="E125" s="89">
        <v>0</v>
      </c>
      <c r="F125" s="89">
        <v>0</v>
      </c>
    </row>
    <row r="126" spans="1:6" ht="15" customHeight="1" x14ac:dyDescent="0.2">
      <c r="A126" s="89" t="s">
        <v>2813</v>
      </c>
      <c r="B126" s="86" t="s">
        <v>2814</v>
      </c>
      <c r="C126" s="85" t="s">
        <v>2874</v>
      </c>
      <c r="D126" s="89">
        <v>0</v>
      </c>
      <c r="E126" s="89">
        <v>0</v>
      </c>
      <c r="F126" s="89">
        <v>0</v>
      </c>
    </row>
    <row r="127" spans="1:6" ht="15" customHeight="1" x14ac:dyDescent="0.2">
      <c r="A127" s="89" t="s">
        <v>2815</v>
      </c>
      <c r="B127" s="85" t="s">
        <v>2816</v>
      </c>
      <c r="C127" s="85" t="s">
        <v>3061</v>
      </c>
      <c r="D127" s="89">
        <v>0</v>
      </c>
      <c r="E127" s="89">
        <v>0</v>
      </c>
      <c r="F127" s="89">
        <v>0</v>
      </c>
    </row>
    <row r="128" spans="1:6" ht="15" customHeight="1" x14ac:dyDescent="0.2">
      <c r="A128" s="89" t="s">
        <v>2817</v>
      </c>
      <c r="B128" s="85" t="s">
        <v>2818</v>
      </c>
      <c r="C128" s="85" t="s">
        <v>3059</v>
      </c>
      <c r="D128" s="89">
        <v>0</v>
      </c>
      <c r="E128" s="89">
        <v>0</v>
      </c>
      <c r="F128" s="89">
        <v>0</v>
      </c>
    </row>
    <row r="129" spans="1:6" ht="15" customHeight="1" x14ac:dyDescent="0.2">
      <c r="A129" s="89" t="s">
        <v>2819</v>
      </c>
      <c r="B129" s="85" t="s">
        <v>2820</v>
      </c>
      <c r="C129" s="85" t="s">
        <v>3060</v>
      </c>
      <c r="D129" s="99" t="s">
        <v>3139</v>
      </c>
      <c r="E129" s="90" t="s">
        <v>3140</v>
      </c>
      <c r="F129" s="89">
        <v>60514611700</v>
      </c>
    </row>
    <row r="130" spans="1:6" ht="15" customHeight="1" x14ac:dyDescent="0.2">
      <c r="A130" s="89" t="s">
        <v>3033</v>
      </c>
      <c r="B130" s="85" t="s">
        <v>3034</v>
      </c>
      <c r="C130" s="85" t="s">
        <v>2750</v>
      </c>
      <c r="D130" s="92">
        <v>0</v>
      </c>
      <c r="E130" s="89">
        <v>0</v>
      </c>
      <c r="F130" s="89">
        <v>0</v>
      </c>
    </row>
    <row r="131" spans="1:6" ht="15" customHeight="1" x14ac:dyDescent="0.2">
      <c r="A131" s="89" t="s">
        <v>2690</v>
      </c>
      <c r="B131" s="85" t="s">
        <v>2691</v>
      </c>
      <c r="C131" s="85" t="s">
        <v>3061</v>
      </c>
      <c r="D131" s="89" t="s">
        <v>2693</v>
      </c>
      <c r="E131" s="89" t="s">
        <v>2918</v>
      </c>
      <c r="F131" s="89">
        <v>58153979500</v>
      </c>
    </row>
    <row r="132" spans="1:6" ht="15" customHeight="1" x14ac:dyDescent="0.2">
      <c r="A132" s="89" t="s">
        <v>2829</v>
      </c>
      <c r="B132" s="85" t="s">
        <v>2830</v>
      </c>
      <c r="C132" s="85" t="s">
        <v>3059</v>
      </c>
      <c r="D132" s="89">
        <v>0</v>
      </c>
      <c r="E132" s="89">
        <v>0</v>
      </c>
      <c r="F132" s="89">
        <v>0</v>
      </c>
    </row>
    <row r="133" spans="1:6" ht="15" customHeight="1" x14ac:dyDescent="0.2">
      <c r="A133" s="89" t="s">
        <v>2838</v>
      </c>
      <c r="B133" s="85" t="s">
        <v>2839</v>
      </c>
      <c r="C133" s="85" t="s">
        <v>3059</v>
      </c>
      <c r="D133" s="89">
        <v>0</v>
      </c>
      <c r="E133" s="89">
        <v>0</v>
      </c>
      <c r="F133" s="89">
        <v>0</v>
      </c>
    </row>
    <row r="134" spans="1:6" ht="15" customHeight="1" x14ac:dyDescent="0.2">
      <c r="A134" s="89" t="s">
        <v>2842</v>
      </c>
      <c r="B134" s="85" t="s">
        <v>2843</v>
      </c>
      <c r="C134" s="85" t="s">
        <v>3061</v>
      </c>
      <c r="D134" s="89">
        <v>0</v>
      </c>
      <c r="E134" s="89">
        <v>0</v>
      </c>
      <c r="F134" s="89">
        <v>0</v>
      </c>
    </row>
    <row r="135" spans="1:6" ht="15" customHeight="1" x14ac:dyDescent="0.2">
      <c r="A135" s="89" t="s">
        <v>2847</v>
      </c>
      <c r="B135" s="86" t="s">
        <v>2848</v>
      </c>
      <c r="C135" s="85" t="s">
        <v>3061</v>
      </c>
      <c r="D135" s="89">
        <v>0</v>
      </c>
      <c r="E135" s="89">
        <v>0</v>
      </c>
      <c r="F135" s="89">
        <v>0</v>
      </c>
    </row>
    <row r="136" spans="1:6" ht="15" customHeight="1" x14ac:dyDescent="0.2">
      <c r="A136" s="89" t="s">
        <v>2855</v>
      </c>
      <c r="B136" s="85" t="s">
        <v>2856</v>
      </c>
      <c r="C136" s="85" t="s">
        <v>3061</v>
      </c>
      <c r="D136" s="89">
        <v>0</v>
      </c>
      <c r="E136" s="89">
        <v>0</v>
      </c>
      <c r="F136" s="89">
        <v>0</v>
      </c>
    </row>
    <row r="137" spans="1:6" ht="15" customHeight="1" x14ac:dyDescent="0.2">
      <c r="A137" s="89" t="s">
        <v>2862</v>
      </c>
      <c r="B137" s="85" t="s">
        <v>2863</v>
      </c>
      <c r="C137" s="85" t="s">
        <v>2750</v>
      </c>
      <c r="D137" s="89">
        <v>0</v>
      </c>
      <c r="E137" s="89">
        <v>0</v>
      </c>
      <c r="F137" s="89">
        <v>0</v>
      </c>
    </row>
    <row r="138" spans="1:6" ht="15" customHeight="1" x14ac:dyDescent="0.2">
      <c r="A138" s="89" t="s">
        <v>2864</v>
      </c>
      <c r="B138" s="85" t="s">
        <v>2865</v>
      </c>
      <c r="C138" s="85" t="s">
        <v>3061</v>
      </c>
      <c r="D138" s="99" t="s">
        <v>3135</v>
      </c>
      <c r="E138" s="90" t="s">
        <v>3134</v>
      </c>
      <c r="F138" s="89">
        <v>57421989500</v>
      </c>
    </row>
  </sheetData>
  <autoFilter ref="A1:F138" xr:uid="{E807DFF8-92E1-440E-AAC3-AD64D81F1CE2}"/>
  <hyperlinks>
    <hyperlink ref="D11" r:id="rId1" xr:uid="{BEA16329-116D-4540-9F64-197B2C56F5A3}"/>
    <hyperlink ref="D95" r:id="rId2" xr:uid="{346AC423-7AF5-4272-9E29-FF74F1717D8D}"/>
    <hyperlink ref="D29" r:id="rId3" xr:uid="{CD12F57C-2DD4-4A39-A1DD-845F39B37850}"/>
    <hyperlink ref="D121" r:id="rId4" xr:uid="{36211B00-98C1-4B2A-BEB8-142B0150DBB2}"/>
    <hyperlink ref="D55" r:id="rId5" xr:uid="{3BFE903C-7EA3-481F-9019-B7F053AAA220}"/>
    <hyperlink ref="D52" r:id="rId6" xr:uid="{37C7949D-3C9B-488C-98A4-1E441BE7C554}"/>
    <hyperlink ref="D67" r:id="rId7" xr:uid="{AD669CBD-077E-4201-AFAE-AB54A786FAE4}"/>
    <hyperlink ref="D89" r:id="rId8" xr:uid="{EC54DAE5-3C8C-436D-A52F-A14E41FA4308}"/>
    <hyperlink ref="D75" r:id="rId9" xr:uid="{BC55A1ED-4C0C-4B47-ABC5-0888125DE779}"/>
    <hyperlink ref="D61" r:id="rId10" xr:uid="{65DD153D-E532-452F-B006-63A1AC35E96E}"/>
    <hyperlink ref="D86" r:id="rId11" xr:uid="{3232E27D-15E7-4FCF-9FB4-6802E3E64288}"/>
    <hyperlink ref="D68" r:id="rId12" xr:uid="{61191C5F-1852-4C5A-B365-EFDAA37352C0}"/>
    <hyperlink ref="D21" r:id="rId13" xr:uid="{22C64DA2-757E-4AB9-A3C5-616B221799F9}"/>
    <hyperlink ref="D42" r:id="rId14" xr:uid="{19A97695-7897-4543-BDEF-1AE4E584C46D}"/>
    <hyperlink ref="D50" r:id="rId15" xr:uid="{71E660EE-3C33-4FE8-A866-3D3F266999E0}"/>
    <hyperlink ref="D53" r:id="rId16" xr:uid="{F55EFE16-6470-41A5-863A-ED1F279F92DA}"/>
    <hyperlink ref="D13" r:id="rId17" xr:uid="{8FBE3BE4-6639-344B-A640-BB1AAF9899D1}"/>
    <hyperlink ref="D72" r:id="rId18" xr:uid="{7979E6B5-AF67-AD47-955A-744CBD517265}"/>
    <hyperlink ref="D79" r:id="rId19" xr:uid="{80BA7AD7-535C-AC4B-983B-37CF3F821D64}"/>
    <hyperlink ref="D106" r:id="rId20" xr:uid="{9EC94C55-9AF2-8441-A0DA-0097DD340B9D}"/>
    <hyperlink ref="D111" r:id="rId21" xr:uid="{266B63E1-E1FE-5943-A55F-608499C5757F}"/>
    <hyperlink ref="D138" r:id="rId22" xr:uid="{F3FB04C1-9583-5E42-8404-DEA6B6A7EAAE}"/>
    <hyperlink ref="D81" r:id="rId23" xr:uid="{56290FEE-67A0-634C-9B95-F0AF20AEC793}"/>
    <hyperlink ref="D119" r:id="rId24" xr:uid="{08E3079A-16BC-DD40-94F2-C25062DDE039}"/>
    <hyperlink ref="D129" r:id="rId25" xr:uid="{6807CE19-4760-C74C-8C00-0919FA1F92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EE90-0E6D-4AA9-9776-9DCC8E5DFB59}">
  <dimension ref="B2:C16"/>
  <sheetViews>
    <sheetView workbookViewId="0">
      <selection activeCell="B2" sqref="B2:C16"/>
    </sheetView>
  </sheetViews>
  <sheetFormatPr baseColWidth="10" defaultRowHeight="15" x14ac:dyDescent="0.2"/>
  <cols>
    <col min="3" max="3" width="46.5" bestFit="1" customWidth="1"/>
  </cols>
  <sheetData>
    <row r="2" spans="2:3" x14ac:dyDescent="0.2">
      <c r="B2" s="97" t="s">
        <v>3113</v>
      </c>
      <c r="C2" s="97" t="s">
        <v>3117</v>
      </c>
    </row>
    <row r="3" spans="2:3" x14ac:dyDescent="0.2">
      <c r="B3" s="97" t="s">
        <v>3114</v>
      </c>
      <c r="C3" s="96" t="s">
        <v>2539</v>
      </c>
    </row>
    <row r="4" spans="2:3" x14ac:dyDescent="0.2">
      <c r="B4" s="97" t="s">
        <v>3114</v>
      </c>
      <c r="C4" s="96" t="s">
        <v>2524</v>
      </c>
    </row>
    <row r="5" spans="2:3" x14ac:dyDescent="0.2">
      <c r="B5" s="97" t="s">
        <v>3114</v>
      </c>
      <c r="C5" s="96" t="s">
        <v>2558</v>
      </c>
    </row>
    <row r="6" spans="2:3" x14ac:dyDescent="0.2">
      <c r="B6" s="97" t="s">
        <v>3114</v>
      </c>
      <c r="C6" s="96" t="s">
        <v>2555</v>
      </c>
    </row>
    <row r="7" spans="2:3" x14ac:dyDescent="0.2">
      <c r="B7" s="97" t="s">
        <v>3114</v>
      </c>
      <c r="C7" s="96" t="s">
        <v>2561</v>
      </c>
    </row>
    <row r="8" spans="2:3" x14ac:dyDescent="0.2">
      <c r="B8" s="97" t="s">
        <v>3114</v>
      </c>
      <c r="C8" s="96" t="s">
        <v>2535</v>
      </c>
    </row>
    <row r="9" spans="2:3" x14ac:dyDescent="0.2">
      <c r="B9" s="97" t="s">
        <v>3115</v>
      </c>
      <c r="C9" s="96" t="s">
        <v>2529</v>
      </c>
    </row>
    <row r="10" spans="2:3" x14ac:dyDescent="0.2">
      <c r="B10" s="97" t="s">
        <v>3116</v>
      </c>
      <c r="C10" s="96" t="s">
        <v>2532</v>
      </c>
    </row>
    <row r="13" spans="2:3" x14ac:dyDescent="0.2">
      <c r="B13" s="97" t="s">
        <v>3113</v>
      </c>
      <c r="C13" s="97" t="s">
        <v>3118</v>
      </c>
    </row>
    <row r="14" spans="2:3" x14ac:dyDescent="0.2">
      <c r="B14" s="97" t="s">
        <v>3114</v>
      </c>
      <c r="C14" s="98">
        <v>6</v>
      </c>
    </row>
    <row r="15" spans="2:3" x14ac:dyDescent="0.2">
      <c r="B15" s="97" t="s">
        <v>3115</v>
      </c>
      <c r="C15" s="98">
        <v>1</v>
      </c>
    </row>
    <row r="16" spans="2:3" x14ac:dyDescent="0.2">
      <c r="B16" s="97" t="s">
        <v>3116</v>
      </c>
      <c r="C16" s="98">
        <v>1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7671-9282-4F26-9E79-DD4AD89D7665}">
  <dimension ref="A3:CT4"/>
  <sheetViews>
    <sheetView workbookViewId="0"/>
  </sheetViews>
  <sheetFormatPr baseColWidth="10" defaultColWidth="11.5" defaultRowHeight="15" x14ac:dyDescent="0.2"/>
  <sheetData>
    <row r="3" spans="1:98" x14ac:dyDescent="0.2">
      <c r="A3" s="84" t="s">
        <v>2942</v>
      </c>
    </row>
    <row r="4" spans="1:98" s="11" customFormat="1" ht="11" x14ac:dyDescent="0.15">
      <c r="A4" s="48" t="s">
        <v>2943</v>
      </c>
      <c r="B4" s="2">
        <v>202310</v>
      </c>
      <c r="C4" s="2" t="s">
        <v>2944</v>
      </c>
      <c r="D4" s="3" t="s">
        <v>2945</v>
      </c>
      <c r="E4" s="3" t="s">
        <v>2946</v>
      </c>
      <c r="F4" s="3" t="s">
        <v>2947</v>
      </c>
      <c r="G4" s="3" t="s">
        <v>2948</v>
      </c>
      <c r="H4" s="3" t="e">
        <f>CONCATENATE(#REF!," ",#REF!," ",#REF!," ",#REF!)</f>
        <v>#REF!</v>
      </c>
      <c r="I4" s="2" t="s">
        <v>2949</v>
      </c>
      <c r="J4" s="2">
        <v>1044913509</v>
      </c>
      <c r="K4" s="9" t="s">
        <v>2950</v>
      </c>
      <c r="L4" s="4">
        <v>32441</v>
      </c>
      <c r="M4" s="5">
        <f ca="1">DATEDIF($L4,TODAY(),"Y")</f>
        <v>37</v>
      </c>
      <c r="N4" s="6" t="s">
        <v>2951</v>
      </c>
      <c r="O4" s="83"/>
      <c r="P4" s="6" t="str">
        <f>IFERROR(VLOOKUP(#REF!,Tabla1[[MUNICIO Y DEPARTAMENTO]:[CÓDIGO MUNICIPIO]],2,FALSE),"")</f>
        <v/>
      </c>
      <c r="Q4" s="8"/>
      <c r="R4" s="6" t="str">
        <f>IFERROR(VLOOKUP(#REF!,'LISTADO PAIS Y MUNICIPIOS'!$I$2:$J$251,2,FALSE),"")</f>
        <v/>
      </c>
      <c r="S4" s="4" t="s">
        <v>2952</v>
      </c>
      <c r="T4" s="4" t="s">
        <v>2953</v>
      </c>
      <c r="U4" s="4" t="s">
        <v>2954</v>
      </c>
      <c r="V4" s="5"/>
      <c r="W4" s="2">
        <v>3004867044</v>
      </c>
      <c r="X4" s="7"/>
      <c r="Y4" s="40" t="s">
        <v>2955</v>
      </c>
      <c r="Z4" s="23" t="s">
        <v>2956</v>
      </c>
      <c r="AA4" s="23" t="s">
        <v>2957</v>
      </c>
      <c r="AB4" s="41" t="s">
        <v>183</v>
      </c>
      <c r="AC4" s="23"/>
      <c r="AD4" s="38"/>
      <c r="AE4" s="20" t="s">
        <v>2958</v>
      </c>
      <c r="AF4" s="20"/>
      <c r="AG4" s="39"/>
      <c r="AH4" s="37">
        <f ca="1">IFERROR(DATEDIF($AD4,TODAY(),"Y"),"")</f>
        <v>126</v>
      </c>
      <c r="AI4" s="35">
        <f ca="1">IFERROR(DATEDIF($AD4,TODAY(),"YM"),"")</f>
        <v>6</v>
      </c>
      <c r="AJ4" s="36" t="e">
        <f>CONCATENATE(#REF!," AÑOS ",#REF!," MESES")</f>
        <v>#REF!</v>
      </c>
      <c r="AK4" s="37" t="str">
        <f ca="1">IFERROR(DATEDIF($AE4,TODAY(),"Y"),"")</f>
        <v/>
      </c>
      <c r="AL4" s="35" t="str">
        <f ca="1">IFERROR(DATEDIF($AE4,TODAY(),"YM"),"")</f>
        <v/>
      </c>
      <c r="AM4" s="36" t="e">
        <f>CONCATENATE(#REF!," AÑOS ",#REF!," MESES")</f>
        <v>#REF!</v>
      </c>
      <c r="AN4" s="43" t="str">
        <f>IFERROR(VLOOKUP(#REF!,#REF!,2,FALSE),"")</f>
        <v/>
      </c>
      <c r="AO4" s="22" t="s">
        <v>2959</v>
      </c>
      <c r="AP4" s="28" t="str">
        <f>IFERROR(VLOOKUP(#REF!,#REF!,2,FALSE),"")</f>
        <v/>
      </c>
      <c r="AQ4" s="22" t="s">
        <v>2960</v>
      </c>
      <c r="AR4" s="21" t="str">
        <f>IFERROR(VLOOKUP(AS4,#REF!,2,FALSE),"")</f>
        <v/>
      </c>
      <c r="AS4" s="22" t="s">
        <v>2961</v>
      </c>
      <c r="AT4" s="42"/>
      <c r="AU4" s="70" t="s">
        <v>2962</v>
      </c>
      <c r="AV4" s="71" t="s">
        <v>2958</v>
      </c>
      <c r="AW4" s="74" t="s">
        <v>2962</v>
      </c>
      <c r="AX4" s="72" t="s">
        <v>2963</v>
      </c>
      <c r="AY4" s="73" t="s">
        <v>2964</v>
      </c>
      <c r="AZ4" s="30" t="s">
        <v>2965</v>
      </c>
      <c r="BA4" s="30" t="s">
        <v>2966</v>
      </c>
      <c r="BB4" s="47" t="s">
        <v>2967</v>
      </c>
      <c r="BC4" s="31" t="str">
        <f>IFERROR(VLOOKUP(#REF!,#REF!,2,FALSE),"")</f>
        <v/>
      </c>
      <c r="BD4" s="31" t="s">
        <v>2601</v>
      </c>
      <c r="BE4" s="9"/>
      <c r="BF4" s="40"/>
      <c r="BG4" s="10"/>
      <c r="BH4" s="76"/>
      <c r="BI4" s="10"/>
      <c r="BJ4" s="10"/>
      <c r="BK4" s="29"/>
      <c r="BL4" s="44"/>
      <c r="BM4" s="81" t="str">
        <f>IFERROR(VLOOKUP($BN4,#REF!,2,FALSE),"")</f>
        <v/>
      </c>
      <c r="BN4" s="82" t="s">
        <v>2542</v>
      </c>
      <c r="BO4" s="25" t="s">
        <v>2968</v>
      </c>
      <c r="BP4" s="26">
        <v>43699</v>
      </c>
      <c r="BQ4" s="24">
        <v>2019</v>
      </c>
      <c r="BR4" s="24" t="str">
        <f>IFERROR(VLOOKUP(#REF!,'LISTADO PAIS Y MUNICIPIOS'!$I$2:$J$251,2,FALSE),"")</f>
        <v/>
      </c>
      <c r="BS4" s="27" t="s">
        <v>183</v>
      </c>
      <c r="BT4" s="24" t="s">
        <v>2958</v>
      </c>
      <c r="BU4" s="27"/>
      <c r="BV4" s="24" t="str">
        <f>IFERROR(VLOOKUP(#REF!,#REF!,6,FALSE),"")</f>
        <v/>
      </c>
      <c r="BW4" s="27" t="s">
        <v>2969</v>
      </c>
      <c r="BX4" s="80" t="s">
        <v>2960</v>
      </c>
      <c r="BY4" s="77"/>
      <c r="BZ4" s="78">
        <f>IFERROR(BY4/5,"")</f>
        <v>0</v>
      </c>
      <c r="CA4" s="79"/>
      <c r="CB4" s="77"/>
      <c r="CC4" s="77"/>
      <c r="CD4" s="77"/>
      <c r="CE4" s="77" t="str">
        <f>IFERROR(AVERAGE(#REF!),"")</f>
        <v/>
      </c>
      <c r="CF4" s="78" t="str">
        <f>IFERROR(CE4/5,"")</f>
        <v/>
      </c>
      <c r="CG4" s="45" t="s">
        <v>2970</v>
      </c>
      <c r="CH4" s="33" t="s">
        <v>2971</v>
      </c>
      <c r="CI4" s="33"/>
      <c r="CJ4" s="32" t="s">
        <v>2972</v>
      </c>
      <c r="CK4" s="34">
        <v>44427</v>
      </c>
      <c r="CL4" s="46" t="s">
        <v>2973</v>
      </c>
      <c r="CM4" s="75"/>
      <c r="CN4" s="75"/>
      <c r="CO4" s="69"/>
      <c r="CP4" s="69"/>
      <c r="CQ4" s="2"/>
      <c r="CR4" s="2"/>
      <c r="CS4" s="2"/>
      <c r="CT4" s="2"/>
    </row>
  </sheetData>
  <conditionalFormatting sqref="C4">
    <cfRule type="duplicateValues" dxfId="10" priority="1"/>
    <cfRule type="duplicateValues" dxfId="9" priority="2"/>
    <cfRule type="duplicateValues" dxfId="8" priority="3"/>
    <cfRule type="duplicateValues" dxfId="7" priority="4"/>
  </conditionalFormatting>
  <conditionalFormatting sqref="H4">
    <cfRule type="duplicateValues" dxfId="6" priority="5"/>
  </conditionalFormatting>
  <dataValidations count="6">
    <dataValidation type="list" allowBlank="1" showInputMessage="1" showErrorMessage="1" sqref="BD4" xr:uid="{1A6B3507-3A13-4297-92E5-9655EA600144}">
      <formula1>INDIRECT($BB4)</formula1>
    </dataValidation>
    <dataValidation type="list" allowBlank="1" showInputMessage="1" showErrorMessage="1" sqref="AW4" xr:uid="{4FFFFB5C-91BA-42D5-93E7-8026CA469BE3}">
      <formula1>"ASISTENTE GRADUADO,CÁTEDRA,MEDIO TIEMPO,TIEMPO COMPLETO,TIEMPO PARCIAL"</formula1>
    </dataValidation>
    <dataValidation type="list" allowBlank="1" showInputMessage="1" showErrorMessage="1" sqref="AV4" xr:uid="{FFD2EEF3-1B65-47B4-B167-397587E9DD11}">
      <formula1>"ASISTENTE GRADUADO,CARRERA,ESPECIAL,INVITADO,N.A,UTB COTA CÁTEDRA,UTB COTA TIEMPO COMPLETO"</formula1>
    </dataValidation>
    <dataValidation type="list" allowBlank="1" showInputMessage="1" showErrorMessage="1" sqref="CG4" xr:uid="{0769FA9B-953E-474C-BEBE-A13A1ED38472}">
      <formula1>"PROPIO,CENTRO DE IDIOMAS,CERTIFICACIÓN INTERNACIONAL,EN ESPERA DE RESULTADOS,ESTUDIOS EN EL EXTERIOR,PENDIENTE CLASIFICAR"</formula1>
    </dataValidation>
    <dataValidation type="list" allowBlank="1" showInputMessage="1" showErrorMessage="1" sqref="BT4" xr:uid="{20F9D45E-AA45-4475-94CD-82B7FEFE36C3}">
      <formula1>"SI,NO,N.A,CARTA DE COMPROMISO,RADICADO: EN PROCESO,PENDIENTE"</formula1>
    </dataValidation>
    <dataValidation type="list" allowBlank="1" showInputMessage="1" showErrorMessage="1" sqref="CO4:CP4 CL4 BN4 CH4:CI4 AS4 AQ4 AO4" xr:uid="{79DB75E6-41BA-47C0-96EA-6EE4622FD6FE}">
      <formula1>#REF!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17F7FF-A65A-40F5-87D2-4EF3D06F8513}">
          <x14:formula1>
            <xm:f>'LISTADO PAIS Y MUNICIPIOS'!$F$2:$F$1120</xm:f>
          </x14:formula1>
          <xm:sqref>K4 O4</xm:sqref>
        </x14:dataValidation>
        <x14:dataValidation type="list" allowBlank="1" showInputMessage="1" showErrorMessage="1" xr:uid="{CF12F8B0-3AE4-4BEA-BCAE-19137674218C}">
          <x14:formula1>
            <xm:f>'LISTADO PAIS Y MUNICIPIOS'!$I$2:$I$251</xm:f>
          </x14:formula1>
          <xm:sqref>Q4 BS4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16310-B163-41B9-B1DF-30137387565C}"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317AE-A89D-4FF7-8CCA-0F8FE570CE79}">
  <dimension ref="B1:O31"/>
  <sheetViews>
    <sheetView workbookViewId="0"/>
  </sheetViews>
  <sheetFormatPr baseColWidth="10" defaultColWidth="11.5" defaultRowHeight="11" x14ac:dyDescent="0.15"/>
  <cols>
    <col min="1" max="1" width="11.5" style="1"/>
    <col min="2" max="2" width="37.5" style="50" bestFit="1" customWidth="1"/>
    <col min="3" max="3" width="16.83203125" style="49" customWidth="1"/>
    <col min="4" max="4" width="25" style="50" bestFit="1" customWidth="1"/>
    <col min="5" max="5" width="14.1640625" style="49" customWidth="1"/>
    <col min="6" max="6" width="57.1640625" style="63" bestFit="1" customWidth="1"/>
    <col min="7" max="10" width="11.5" style="1"/>
    <col min="11" max="11" width="37.1640625" style="1" bestFit="1" customWidth="1"/>
    <col min="12" max="12" width="37.1640625" style="1" customWidth="1"/>
    <col min="13" max="13" width="21.83203125" style="1" bestFit="1" customWidth="1"/>
    <col min="14" max="14" width="21.83203125" style="1" customWidth="1"/>
    <col min="15" max="15" width="47.1640625" style="1" customWidth="1"/>
    <col min="16" max="16384" width="11.5" style="1"/>
  </cols>
  <sheetData>
    <row r="1" spans="2:15" ht="12" x14ac:dyDescent="0.15">
      <c r="B1" s="49" t="s">
        <v>2520</v>
      </c>
      <c r="C1" s="49" t="s">
        <v>2949</v>
      </c>
      <c r="D1" s="50" t="s">
        <v>2521</v>
      </c>
      <c r="E1" s="49" t="s">
        <v>2974</v>
      </c>
      <c r="F1" s="51" t="s">
        <v>2975</v>
      </c>
      <c r="G1" s="50" t="s">
        <v>2976</v>
      </c>
      <c r="K1" s="52" t="s">
        <v>2520</v>
      </c>
      <c r="L1" s="53" t="s">
        <v>2949</v>
      </c>
      <c r="M1" s="53" t="s">
        <v>2521</v>
      </c>
      <c r="N1" s="53" t="s">
        <v>2974</v>
      </c>
      <c r="O1" s="54" t="s">
        <v>2975</v>
      </c>
    </row>
    <row r="2" spans="2:15" ht="12" hidden="1" x14ac:dyDescent="0.15">
      <c r="B2" s="55" t="s">
        <v>2939</v>
      </c>
      <c r="C2" s="56">
        <v>73141328</v>
      </c>
      <c r="D2" s="55" t="s">
        <v>2728</v>
      </c>
      <c r="E2" s="56">
        <v>3106269447</v>
      </c>
      <c r="F2" s="57" t="s">
        <v>2977</v>
      </c>
      <c r="G2" s="55"/>
      <c r="K2" s="58" t="s">
        <v>2720</v>
      </c>
      <c r="L2" s="59">
        <v>73128090</v>
      </c>
      <c r="M2" s="59" t="s">
        <v>2721</v>
      </c>
      <c r="N2" s="60">
        <v>3046703481</v>
      </c>
      <c r="O2" s="61" t="s">
        <v>2978</v>
      </c>
    </row>
    <row r="3" spans="2:15" ht="24" x14ac:dyDescent="0.15">
      <c r="B3" s="57" t="s">
        <v>2853</v>
      </c>
      <c r="C3" s="62">
        <v>73142481</v>
      </c>
      <c r="D3" s="55" t="s">
        <v>2854</v>
      </c>
      <c r="E3" s="56">
        <v>3164726754</v>
      </c>
      <c r="F3" s="57" t="s">
        <v>2979</v>
      </c>
      <c r="G3" s="55" t="s">
        <v>2980</v>
      </c>
      <c r="K3" s="58" t="s">
        <v>2794</v>
      </c>
      <c r="L3" s="59">
        <v>85485029</v>
      </c>
      <c r="M3" s="59" t="s">
        <v>2795</v>
      </c>
      <c r="N3" s="60">
        <v>3002042037</v>
      </c>
      <c r="O3" s="61" t="s">
        <v>2978</v>
      </c>
    </row>
    <row r="4" spans="2:15" ht="24" x14ac:dyDescent="0.15">
      <c r="B4" s="57" t="s">
        <v>2681</v>
      </c>
      <c r="C4" s="62">
        <v>73157393</v>
      </c>
      <c r="D4" s="55" t="s">
        <v>2854</v>
      </c>
      <c r="E4" s="56">
        <v>3164726754</v>
      </c>
      <c r="F4" s="57" t="s">
        <v>2979</v>
      </c>
      <c r="G4" s="55" t="s">
        <v>2981</v>
      </c>
      <c r="K4" s="58" t="s">
        <v>2734</v>
      </c>
      <c r="L4" s="59">
        <v>8850514</v>
      </c>
      <c r="M4" s="59" t="s">
        <v>2735</v>
      </c>
      <c r="N4" s="60">
        <v>3007590692</v>
      </c>
      <c r="O4" s="61" t="s">
        <v>2982</v>
      </c>
    </row>
    <row r="5" spans="2:15" ht="24" x14ac:dyDescent="0.15">
      <c r="B5" s="55" t="s">
        <v>2535</v>
      </c>
      <c r="C5" s="56">
        <v>37558333</v>
      </c>
      <c r="D5" s="55" t="s">
        <v>2536</v>
      </c>
      <c r="E5" s="56">
        <v>3183851045</v>
      </c>
      <c r="F5" s="57" t="s">
        <v>2983</v>
      </c>
      <c r="G5" s="55"/>
      <c r="K5" s="58" t="s">
        <v>2858</v>
      </c>
      <c r="L5" s="59">
        <v>45560620</v>
      </c>
      <c r="M5" s="59" t="s">
        <v>2859</v>
      </c>
      <c r="N5" s="60">
        <v>3002202545</v>
      </c>
      <c r="O5" s="61" t="s">
        <v>2984</v>
      </c>
    </row>
    <row r="6" spans="2:15" ht="12" hidden="1" x14ac:dyDescent="0.15">
      <c r="B6" s="55" t="s">
        <v>2785</v>
      </c>
      <c r="C6" s="56">
        <v>45756071</v>
      </c>
      <c r="D6" s="55" t="s">
        <v>2786</v>
      </c>
      <c r="E6" s="56">
        <v>3214957652</v>
      </c>
      <c r="F6" s="57" t="s">
        <v>2985</v>
      </c>
      <c r="G6" s="55"/>
      <c r="K6" s="58" t="s">
        <v>2986</v>
      </c>
      <c r="L6" s="59">
        <v>1143332158</v>
      </c>
      <c r="M6" s="59" t="s">
        <v>2987</v>
      </c>
      <c r="N6" s="60" t="s">
        <v>2988</v>
      </c>
      <c r="O6" s="61" t="s">
        <v>2984</v>
      </c>
    </row>
    <row r="7" spans="2:15" ht="12" hidden="1" x14ac:dyDescent="0.15">
      <c r="B7" s="55" t="s">
        <v>2820</v>
      </c>
      <c r="C7" s="56">
        <v>79407639</v>
      </c>
      <c r="D7" s="55" t="s">
        <v>2821</v>
      </c>
      <c r="E7" s="56">
        <v>3114188840</v>
      </c>
      <c r="F7" s="57" t="s">
        <v>2989</v>
      </c>
      <c r="G7" s="55"/>
      <c r="K7" s="58" t="s">
        <v>2990</v>
      </c>
      <c r="L7" s="59">
        <v>91473676</v>
      </c>
      <c r="M7" s="59" t="s">
        <v>2991</v>
      </c>
      <c r="N7" s="60">
        <v>3134255984</v>
      </c>
      <c r="O7" s="61" t="s">
        <v>2992</v>
      </c>
    </row>
    <row r="8" spans="2:15" ht="24" x14ac:dyDescent="0.15">
      <c r="B8" s="55" t="s">
        <v>2755</v>
      </c>
      <c r="C8" s="56">
        <v>73083317</v>
      </c>
      <c r="D8" s="55" t="s">
        <v>2756</v>
      </c>
      <c r="E8" s="56">
        <v>3176365727</v>
      </c>
      <c r="F8" s="57" t="s">
        <v>2993</v>
      </c>
      <c r="G8" s="55"/>
      <c r="K8" s="58" t="s">
        <v>2994</v>
      </c>
      <c r="L8" s="59">
        <v>1047413116</v>
      </c>
      <c r="M8" s="59" t="s">
        <v>2995</v>
      </c>
      <c r="N8" s="60">
        <v>3012162715</v>
      </c>
      <c r="O8" s="61" t="s">
        <v>2996</v>
      </c>
    </row>
    <row r="9" spans="2:15" ht="24" x14ac:dyDescent="0.15">
      <c r="B9" s="55" t="s">
        <v>2668</v>
      </c>
      <c r="C9" s="56">
        <v>45691437</v>
      </c>
      <c r="D9" s="55" t="s">
        <v>2669</v>
      </c>
      <c r="E9" s="56">
        <v>3015842918</v>
      </c>
      <c r="F9" s="57" t="s">
        <v>2997</v>
      </c>
      <c r="G9" s="55"/>
      <c r="K9" s="58" t="s">
        <v>2691</v>
      </c>
      <c r="L9" s="59">
        <v>73107422</v>
      </c>
      <c r="M9" s="59" t="s">
        <v>2692</v>
      </c>
      <c r="N9" s="60">
        <v>3126709366</v>
      </c>
      <c r="O9" s="61" t="s">
        <v>2998</v>
      </c>
    </row>
    <row r="10" spans="2:15" ht="12" hidden="1" x14ac:dyDescent="0.15">
      <c r="B10" s="55" t="s">
        <v>2539</v>
      </c>
      <c r="C10" s="56">
        <v>37844416</v>
      </c>
      <c r="D10" s="55" t="s">
        <v>2540</v>
      </c>
      <c r="E10" s="56">
        <v>3217795954</v>
      </c>
      <c r="F10" s="57" t="s">
        <v>2999</v>
      </c>
      <c r="G10" s="55"/>
      <c r="K10" s="58" t="s">
        <v>2823</v>
      </c>
      <c r="L10" s="59">
        <v>45759501</v>
      </c>
      <c r="M10" s="59" t="s">
        <v>2824</v>
      </c>
      <c r="N10" s="60">
        <v>3234650995</v>
      </c>
      <c r="O10" s="61" t="s">
        <v>3000</v>
      </c>
    </row>
    <row r="11" spans="2:15" ht="24" x14ac:dyDescent="0.15">
      <c r="B11" s="55" t="s">
        <v>2780</v>
      </c>
      <c r="C11" s="56">
        <v>45544438</v>
      </c>
      <c r="D11" s="55" t="s">
        <v>2781</v>
      </c>
      <c r="E11" s="56">
        <v>3135296775</v>
      </c>
      <c r="F11" s="57" t="s">
        <v>3001</v>
      </c>
      <c r="G11" s="55"/>
      <c r="K11" s="58" t="s">
        <v>2544</v>
      </c>
      <c r="L11" s="59">
        <v>73145453</v>
      </c>
      <c r="M11" s="59" t="s">
        <v>2545</v>
      </c>
      <c r="N11" s="60">
        <v>3215454214</v>
      </c>
      <c r="O11" s="61" t="s">
        <v>3002</v>
      </c>
    </row>
    <row r="12" spans="2:15" ht="12" x14ac:dyDescent="0.15">
      <c r="B12" s="55" t="s">
        <v>3003</v>
      </c>
      <c r="C12" s="56">
        <v>45522253</v>
      </c>
      <c r="D12" s="55" t="s">
        <v>3004</v>
      </c>
      <c r="E12" s="56">
        <v>3007565957</v>
      </c>
      <c r="F12" s="57" t="s">
        <v>3005</v>
      </c>
      <c r="G12" s="55"/>
      <c r="K12" s="58" t="s">
        <v>2882</v>
      </c>
      <c r="L12" s="59">
        <v>22802574</v>
      </c>
      <c r="M12" s="59" t="s">
        <v>2688</v>
      </c>
      <c r="N12" s="60">
        <v>3002242636</v>
      </c>
      <c r="O12" s="61" t="s">
        <v>3006</v>
      </c>
    </row>
    <row r="13" spans="2:15" ht="12" x14ac:dyDescent="0.15">
      <c r="B13" s="50" t="s">
        <v>2636</v>
      </c>
      <c r="C13" s="49">
        <v>43277845</v>
      </c>
      <c r="D13" s="50" t="s">
        <v>2637</v>
      </c>
      <c r="E13" s="49">
        <v>3145905565</v>
      </c>
      <c r="F13" s="63" t="s">
        <v>3007</v>
      </c>
      <c r="G13" s="50"/>
      <c r="K13" s="58" t="s">
        <v>2848</v>
      </c>
      <c r="L13" s="59">
        <v>73085718</v>
      </c>
      <c r="M13" s="59" t="s">
        <v>2849</v>
      </c>
      <c r="N13" s="60">
        <v>3114187288</v>
      </c>
      <c r="O13" s="61" t="s">
        <v>3008</v>
      </c>
    </row>
    <row r="14" spans="2:15" ht="12" x14ac:dyDescent="0.15">
      <c r="B14" s="50" t="s">
        <v>2738</v>
      </c>
      <c r="C14" s="49">
        <v>79432172</v>
      </c>
      <c r="D14" s="50" t="s">
        <v>2739</v>
      </c>
      <c r="E14" s="49">
        <v>3125917654</v>
      </c>
      <c r="F14" s="63" t="s">
        <v>3009</v>
      </c>
      <c r="G14" s="50"/>
      <c r="K14" s="64" t="s">
        <v>2551</v>
      </c>
      <c r="L14" s="59">
        <v>75082271</v>
      </c>
      <c r="M14" s="65" t="s">
        <v>2552</v>
      </c>
      <c r="N14" s="60">
        <v>3156883701</v>
      </c>
      <c r="O14" s="61" t="s">
        <v>3010</v>
      </c>
    </row>
    <row r="15" spans="2:15" x14ac:dyDescent="0.15">
      <c r="B15" s="66" t="s">
        <v>3011</v>
      </c>
      <c r="C15" s="67" t="s">
        <v>3011</v>
      </c>
      <c r="D15" s="67" t="s">
        <v>3011</v>
      </c>
      <c r="E15" s="67" t="s">
        <v>3011</v>
      </c>
      <c r="F15" s="68" t="s">
        <v>3012</v>
      </c>
      <c r="G15" s="66"/>
    </row>
    <row r="16" spans="2:15" ht="12" x14ac:dyDescent="0.15">
      <c r="B16" s="50" t="s">
        <v>2632</v>
      </c>
      <c r="C16" s="49">
        <v>73117100</v>
      </c>
      <c r="D16" s="50" t="s">
        <v>2633</v>
      </c>
      <c r="E16" s="49">
        <v>3008142500</v>
      </c>
      <c r="F16" s="63" t="s">
        <v>3013</v>
      </c>
      <c r="G16" s="50"/>
    </row>
    <row r="17" spans="2:7" ht="24" x14ac:dyDescent="0.15">
      <c r="B17" s="50" t="s">
        <v>2745</v>
      </c>
      <c r="C17" s="49">
        <v>45512736</v>
      </c>
      <c r="D17" s="50" t="s">
        <v>2746</v>
      </c>
      <c r="E17" s="49">
        <v>3006770918</v>
      </c>
      <c r="F17" s="63" t="s">
        <v>3014</v>
      </c>
      <c r="G17" s="50"/>
    </row>
    <row r="18" spans="2:7" ht="12" x14ac:dyDescent="0.15">
      <c r="B18" s="50" t="s">
        <v>3015</v>
      </c>
      <c r="C18" s="49">
        <v>1129535499</v>
      </c>
      <c r="D18" s="50" t="s">
        <v>3016</v>
      </c>
      <c r="E18" s="49">
        <v>3004238149</v>
      </c>
      <c r="F18" s="63" t="s">
        <v>3017</v>
      </c>
      <c r="G18" s="50"/>
    </row>
    <row r="19" spans="2:7" ht="12" x14ac:dyDescent="0.15">
      <c r="B19" s="50" t="s">
        <v>2592</v>
      </c>
      <c r="C19" s="49">
        <v>30777606</v>
      </c>
      <c r="D19" s="50" t="s">
        <v>2593</v>
      </c>
      <c r="E19" s="49">
        <v>3006120519</v>
      </c>
      <c r="F19" s="63" t="s">
        <v>3018</v>
      </c>
      <c r="G19" s="50"/>
    </row>
    <row r="20" spans="2:7" ht="12" x14ac:dyDescent="0.15">
      <c r="B20" s="50" t="s">
        <v>2867</v>
      </c>
      <c r="C20" s="49">
        <v>45514975</v>
      </c>
      <c r="D20" s="50" t="s">
        <v>2868</v>
      </c>
      <c r="E20" s="49">
        <v>3114143497</v>
      </c>
      <c r="F20" s="63" t="s">
        <v>3019</v>
      </c>
      <c r="G20" s="50"/>
    </row>
    <row r="21" spans="2:7" ht="12" x14ac:dyDescent="0.15">
      <c r="B21" s="50" t="s">
        <v>2891</v>
      </c>
      <c r="C21" s="49">
        <v>91154441</v>
      </c>
      <c r="D21" s="50" t="s">
        <v>2702</v>
      </c>
      <c r="E21" s="49">
        <v>3178559151</v>
      </c>
      <c r="F21" s="63" t="s">
        <v>3020</v>
      </c>
      <c r="G21" s="50"/>
    </row>
    <row r="22" spans="2:7" ht="12" x14ac:dyDescent="0.15">
      <c r="B22" s="50" t="s">
        <v>2840</v>
      </c>
      <c r="C22" s="49">
        <v>1128060233</v>
      </c>
      <c r="D22" s="50" t="s">
        <v>2841</v>
      </c>
      <c r="E22" s="49">
        <v>3145684236</v>
      </c>
      <c r="F22" s="63" t="s">
        <v>3021</v>
      </c>
      <c r="G22" s="50"/>
    </row>
    <row r="23" spans="2:7" ht="12" x14ac:dyDescent="0.15">
      <c r="B23" s="50" t="s">
        <v>2811</v>
      </c>
      <c r="C23" s="49">
        <v>91239938</v>
      </c>
      <c r="D23" s="50" t="s">
        <v>2812</v>
      </c>
      <c r="E23" s="49">
        <v>3205215060</v>
      </c>
      <c r="F23" s="63" t="s">
        <v>3022</v>
      </c>
      <c r="G23" s="50"/>
    </row>
    <row r="24" spans="2:7" ht="12" x14ac:dyDescent="0.15">
      <c r="B24" s="50" t="s">
        <v>2760</v>
      </c>
      <c r="C24" s="49">
        <v>77022976</v>
      </c>
      <c r="D24" s="50" t="s">
        <v>2761</v>
      </c>
      <c r="E24" s="49">
        <v>3008168771</v>
      </c>
      <c r="F24" s="63" t="s">
        <v>3023</v>
      </c>
      <c r="G24" s="50"/>
    </row>
    <row r="25" spans="2:7" ht="12" x14ac:dyDescent="0.15">
      <c r="B25" s="50" t="s">
        <v>2834</v>
      </c>
      <c r="C25" s="49">
        <v>33309189</v>
      </c>
      <c r="D25" s="50" t="s">
        <v>2835</v>
      </c>
      <c r="E25" s="49">
        <v>3008112311</v>
      </c>
      <c r="F25" s="63" t="s">
        <v>3024</v>
      </c>
      <c r="G25" s="50"/>
    </row>
    <row r="26" spans="2:7" ht="12" hidden="1" x14ac:dyDescent="0.15">
      <c r="B26" s="50" t="s">
        <v>2619</v>
      </c>
      <c r="C26" s="49">
        <v>85463500</v>
      </c>
      <c r="D26" s="50" t="s">
        <v>2620</v>
      </c>
      <c r="E26" s="49">
        <v>3202308056</v>
      </c>
      <c r="F26" s="63" t="s">
        <v>3025</v>
      </c>
      <c r="G26" s="50"/>
    </row>
    <row r="27" spans="2:7" ht="12" hidden="1" x14ac:dyDescent="0.15">
      <c r="B27" s="50" t="s">
        <v>2697</v>
      </c>
      <c r="C27" s="49">
        <v>72154163</v>
      </c>
      <c r="D27" s="50" t="s">
        <v>2698</v>
      </c>
      <c r="E27" s="49">
        <v>3205504078</v>
      </c>
      <c r="F27" s="63" t="s">
        <v>3026</v>
      </c>
      <c r="G27" s="50"/>
    </row>
    <row r="28" spans="2:7" ht="12" hidden="1" x14ac:dyDescent="0.15">
      <c r="B28" s="50" t="s">
        <v>2599</v>
      </c>
      <c r="C28" s="49">
        <v>1051443089</v>
      </c>
      <c r="D28" s="50" t="s">
        <v>2600</v>
      </c>
      <c r="E28" s="49">
        <v>3023862545</v>
      </c>
      <c r="F28" s="63" t="s">
        <v>3027</v>
      </c>
      <c r="G28" s="50"/>
    </row>
    <row r="29" spans="2:7" ht="12" hidden="1" x14ac:dyDescent="0.15">
      <c r="B29" s="50" t="s">
        <v>2564</v>
      </c>
      <c r="C29" s="49">
        <v>52964343</v>
      </c>
      <c r="D29" s="50" t="s">
        <v>2565</v>
      </c>
      <c r="E29" s="49">
        <v>3102371168</v>
      </c>
      <c r="F29" s="63" t="s">
        <v>3028</v>
      </c>
      <c r="G29" s="50"/>
    </row>
    <row r="30" spans="2:7" ht="12" hidden="1" x14ac:dyDescent="0.15">
      <c r="B30" s="50" t="s">
        <v>2796</v>
      </c>
      <c r="C30" s="49">
        <v>1047381445</v>
      </c>
      <c r="D30" s="50" t="s">
        <v>2797</v>
      </c>
      <c r="E30" s="49">
        <v>3102065474</v>
      </c>
      <c r="F30" s="63" t="s">
        <v>3029</v>
      </c>
      <c r="G30" s="50"/>
    </row>
    <row r="31" spans="2:7" ht="12" x14ac:dyDescent="0.15">
      <c r="B31" s="50" t="s">
        <v>2649</v>
      </c>
      <c r="C31" s="49">
        <v>78713918</v>
      </c>
      <c r="D31" s="50" t="s">
        <v>2650</v>
      </c>
      <c r="E31" s="49">
        <v>3135532742</v>
      </c>
      <c r="F31" s="63" t="s">
        <v>3030</v>
      </c>
      <c r="G31" s="50"/>
    </row>
  </sheetData>
  <conditionalFormatting sqref="B1:C3 K2:L14 B5:C1048576">
    <cfRule type="duplicateValues" dxfId="5" priority="59"/>
  </conditionalFormatting>
  <conditionalFormatting sqref="B4:C4">
    <cfRule type="duplicateValues" dxfId="4" priority="3"/>
  </conditionalFormatting>
  <conditionalFormatting sqref="D15:E15">
    <cfRule type="duplicateValues" dxfId="3" priority="2"/>
  </conditionalFormatting>
  <conditionalFormatting sqref="F15">
    <cfRule type="duplicateValues" dxfId="2" priority="1"/>
  </conditionalFormatting>
  <conditionalFormatting sqref="K1">
    <cfRule type="duplicateValues" dxfId="1" priority="5"/>
  </conditionalFormatting>
  <conditionalFormatting sqref="L1">
    <cfRule type="duplicateValues" dxfId="0" priority="4"/>
  </conditionalFormatting>
  <hyperlinks>
    <hyperlink ref="D12" r:id="rId1" xr:uid="{638D0DEA-2B28-4A80-AE7F-9904C2ADBAE4}"/>
  </hyperlinks>
  <pageMargins left="0.7" right="0.7" top="0.75" bottom="0.75" header="0.3" footer="0.3"/>
  <pageSetup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58987523AC114DA2E8BCCE4D56CDB4" ma:contentTypeVersion="19" ma:contentTypeDescription="Crear nuevo documento." ma:contentTypeScope="" ma:versionID="8685408508795e3dc704aaa52a3732bf">
  <xsd:schema xmlns:xsd="http://www.w3.org/2001/XMLSchema" xmlns:xs="http://www.w3.org/2001/XMLSchema" xmlns:p="http://schemas.microsoft.com/office/2006/metadata/properties" xmlns:ns2="b46048b1-4f6a-4c8a-a610-f64f197bd1e6" xmlns:ns3="eb3cec58-24e7-42ad-8c09-13c62d71ba46" targetNamespace="http://schemas.microsoft.com/office/2006/metadata/properties" ma:root="true" ma:fieldsID="fa3e76b5a47f6a85e0379dd0f414bbaf" ns2:_="" ns3:_="">
    <xsd:import namespace="b46048b1-4f6a-4c8a-a610-f64f197bd1e6"/>
    <xsd:import namespace="eb3cec58-24e7-42ad-8c09-13c62d71ba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048b1-4f6a-4c8a-a610-f64f197bd1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74b30457-002d-4cae-a939-358234b24b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cec58-24e7-42ad-8c09-13c62d71ba46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c844743-d01f-48ea-a17a-56eb835b2fe1}" ma:internalName="TaxCatchAll" ma:showField="CatchAllData" ma:web="eb3cec58-24e7-42ad-8c09-13c62d71ba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6048b1-4f6a-4c8a-a610-f64f197bd1e6">
      <Terms xmlns="http://schemas.microsoft.com/office/infopath/2007/PartnerControls"/>
    </lcf76f155ced4ddcb4097134ff3c332f>
    <TaxCatchAll xmlns="eb3cec58-24e7-42ad-8c09-13c62d71ba46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66235206-4477-49A0-BC36-565D48D74C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1A8C1D-5525-4701-BB3E-B7A5F2563A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6048b1-4f6a-4c8a-a610-f64f197bd1e6"/>
    <ds:schemaRef ds:uri="eb3cec58-24e7-42ad-8c09-13c62d71ba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1B46C7-E642-42F1-AED0-13BEDC942833}">
  <ds:schemaRefs>
    <ds:schemaRef ds:uri="http://schemas.microsoft.com/office/2006/metadata/properties"/>
    <ds:schemaRef ds:uri="http://schemas.microsoft.com/office/infopath/2007/PartnerControls"/>
    <ds:schemaRef ds:uri="b46048b1-4f6a-4c8a-a610-f64f197bd1e6"/>
    <ds:schemaRef ds:uri="eb3cec58-24e7-42ad-8c09-13c62d71ba46"/>
  </ds:schemaRefs>
</ds:datastoreItem>
</file>

<file path=customXml/itemProps4.xml><?xml version="1.0" encoding="utf-8"?>
<ds:datastoreItem xmlns:ds="http://schemas.openxmlformats.org/officeDocument/2006/customXml" ds:itemID="{DCF3F222-B13F-4BD7-BBC4-33B3BE62B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LISTADO PAIS Y MUNICIPIOS</vt:lpstr>
      <vt:lpstr>DOCENTES DE PLANTA 2025-2</vt:lpstr>
      <vt:lpstr>Hoja1</vt:lpstr>
      <vt:lpstr>Hoja3</vt:lpstr>
      <vt:lpstr>EVALUACIÓN DOCENTE</vt:lpstr>
      <vt:lpstr>DECANO +DIRECTORES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de los Angeles de Avila Tordecilla</dc:creator>
  <cp:keywords/>
  <dc:description/>
  <cp:lastModifiedBy>David Sierra Porta</cp:lastModifiedBy>
  <cp:revision/>
  <dcterms:created xsi:type="dcterms:W3CDTF">2020-03-16T22:36:05Z</dcterms:created>
  <dcterms:modified xsi:type="dcterms:W3CDTF">2026-07-02T01:50:06Z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0x0101000D58987523AC114DA2E8BCCE4D56CDB4</vt:lpwstr>
  </property>
  <property fmtid="{D5CDD505-2E9C-101B-9397-08002B2CF9AE}" pid="3" name="_ip_UnifiedCompliancePolicyUIAction">
    <vt:lpwstr/>
  </property>
  <property fmtid="{D5CDD505-2E9C-101B-9397-08002B2CF9AE}" pid="4" name="_ip_UnifiedCompliancePolicyProperties">
    <vt:lpwstr/>
  </property>
  <property fmtid="{D5CDD505-2E9C-101B-9397-08002B2CF9AE}" pid="5" name="MediaServiceImageTags">
    <vt:lpwstr/>
  </property>
</Properties>
</file>